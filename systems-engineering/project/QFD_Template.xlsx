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pitsko/Documents/Academics/Georgetown School of Medicine/SYSM-562 Design Thinking and Syst Engineering/Extra Material Provided/"/>
    </mc:Choice>
  </mc:AlternateContent>
  <xr:revisionPtr revIDLastSave="0" documentId="8_{9CA018D0-F417-2D4C-AFD0-9CEFE04B41DA}" xr6:coauthVersionLast="47" xr6:coauthVersionMax="47" xr10:uidLastSave="{00000000-0000-0000-0000-000000000000}"/>
  <bookViews>
    <workbookView xWindow="240" yWindow="500" windowWidth="22080" windowHeight="17160" xr2:uid="{00000000-000D-0000-FFFF-FFFF00000000}"/>
  </bookViews>
  <sheets>
    <sheet name="QFD First House" sheetId="4" r:id="rId1"/>
    <sheet name="QFD Second House" sheetId="5" r:id="rId2"/>
    <sheet name="mscr" sheetId="6" state="veryHidden" r:id="rId3"/>
  </sheets>
  <externalReferences>
    <externalReference r:id="rId4"/>
  </externalReferences>
  <definedNames>
    <definedName name="DateRange">OFFSET([1]Progress!$E$4,0,0,1,COUNTIF([1]Progress!$E$4:$L$4,"&gt;0"))</definedName>
    <definedName name="Importance1" localSheetId="0">'QFD First House'!$CI$44:$CI$63</definedName>
    <definedName name="Importance2" localSheetId="1">'QFD Second House'!$CJ$44:$CJ$63</definedName>
    <definedName name="List1_1" localSheetId="0">'QFD First House'!$F$44:$F$63</definedName>
    <definedName name="List1_10" localSheetId="0">'QFD First House'!$AP$44:$AP$63</definedName>
    <definedName name="List1_11" localSheetId="0">'QFD First House'!$AT$44:$AT$63</definedName>
    <definedName name="List1_12" localSheetId="0">'QFD First House'!$AX$44:$AX$63</definedName>
    <definedName name="List1_13" localSheetId="0">'QFD First House'!$BB$44:$BB$63</definedName>
    <definedName name="List1_14" localSheetId="0">'QFD First House'!$BF$44:$BF$63</definedName>
    <definedName name="List1_15" localSheetId="0">'QFD First House'!$BJ$44:$BJ$63</definedName>
    <definedName name="List1_16" localSheetId="0">'QFD First House'!$BN$44:$BN$63</definedName>
    <definedName name="List1_17" localSheetId="0">'QFD First House'!$BR$44:$BR$63</definedName>
    <definedName name="List1_18" localSheetId="0">'QFD First House'!$BV$44:$BV$63</definedName>
    <definedName name="List1_19" localSheetId="0">'QFD First House'!$BZ$44:$BZ$63</definedName>
    <definedName name="List1_2" localSheetId="0">'QFD First House'!$J$44:$J$63</definedName>
    <definedName name="List1_20" localSheetId="0">'QFD First House'!$CD$44:$CD$63</definedName>
    <definedName name="List1_3" localSheetId="0">'QFD First House'!$N$44:$N$63</definedName>
    <definedName name="List1_4" localSheetId="0">'QFD First House'!$R$44:$T$63</definedName>
    <definedName name="List1_5" localSheetId="0">'QFD First House'!$V$44:$V$63</definedName>
    <definedName name="List1_6" localSheetId="0">'QFD First House'!$Z$44:$Z$63</definedName>
    <definedName name="List1_7" localSheetId="0">'QFD First House'!$AD$44:$AD$63</definedName>
    <definedName name="List1_8" localSheetId="0">'QFD First House'!$AH$44:$AH$63</definedName>
    <definedName name="List1_9" localSheetId="0">'QFD First House'!$AL$44:$AL$63</definedName>
    <definedName name="List2_1" localSheetId="1">'QFD Second House'!$F$44:$F$63</definedName>
    <definedName name="List2_10" localSheetId="1">'QFD Second House'!$AP$44:$AP$63</definedName>
    <definedName name="List2_11" localSheetId="1">'QFD Second House'!$AT$44:$AT$63</definedName>
    <definedName name="List2_12" localSheetId="1">'QFD Second House'!$AX$44:$AX$63</definedName>
    <definedName name="List2_13" localSheetId="1">'QFD Second House'!$BB$44:$BB$63</definedName>
    <definedName name="List2_14" localSheetId="1">'QFD Second House'!$BF$44:$BF$63</definedName>
    <definedName name="List2_15" localSheetId="1">'QFD Second House'!$BJ$44:$BJ$63</definedName>
    <definedName name="List2_16" localSheetId="1">'QFD Second House'!$BN$44:$BN$63</definedName>
    <definedName name="List2_17" localSheetId="1">'QFD Second House'!$BR$44:$BR$63</definedName>
    <definedName name="List2_18" localSheetId="1">'QFD Second House'!$BV$44:$BV$63</definedName>
    <definedName name="List2_19" localSheetId="1">'QFD Second House'!$BZ$44:$BZ$63</definedName>
    <definedName name="List2_2" localSheetId="1">'QFD Second House'!$J$44:$J$63</definedName>
    <definedName name="List2_20" localSheetId="1">'QFD Second House'!$CD$44:$CD$63</definedName>
    <definedName name="List2_3" localSheetId="1">'QFD Second House'!$N$44:$N$63</definedName>
    <definedName name="List2_4" localSheetId="1">'QFD Second House'!$R$44:$R$63</definedName>
    <definedName name="List2_5" localSheetId="1">'QFD Second House'!$V$44:$V$63</definedName>
    <definedName name="List2_6" localSheetId="1">'QFD Second House'!$Z$44:$Z$63</definedName>
    <definedName name="List2_7" localSheetId="1">'QFD Second House'!$AD$44:$AD$63</definedName>
    <definedName name="List2_8" localSheetId="1">'QFD Second House'!$AH$44:$AH$63</definedName>
    <definedName name="List2_9" localSheetId="1">'QFD Second House'!$AL$44:$AL$63</definedName>
    <definedName name="ParamNames">OFFSET([1]Scorecard!$C$18,0,0,COUNTA([1]Scorecard!$C$18:$C$35))</definedName>
    <definedName name="ParamRange">OFFSET([1]Progress!$E$4,[1]Progress!$B$25,0,1,COUNTIF([1]Progress!$E$4:$L$4,"&gt;0"))</definedName>
    <definedName name="ParamSelect">OFFSET([1]Progress!$B$4,[1]Progress!$B$25,0)</definedName>
    <definedName name="_xlnm.Print_Area" localSheetId="0">'QFD First House'!$A$1:$CQ$80</definedName>
    <definedName name="_xlnm.Print_Area" localSheetId="1">'QFD Second House'!$A$1:$CQ$81</definedName>
    <definedName name="ProcessIndex">OFFSET([1]Progress!$C$4,[1]Progress!$B$25,0) &amp; " Progress"</definedName>
    <definedName name="YAxisTitle">OFFSET([1]Progress!$C$4,[1]Progress!$B$25,0)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" i="4" l="1" a="1"/>
  <c r="J64" i="4" s="1"/>
  <c r="J65" i="4" s="1"/>
  <c r="F64" i="4" a="1"/>
  <c r="F64" i="4" s="1"/>
  <c r="F65" i="4" s="1"/>
  <c r="N64" i="4" a="1"/>
  <c r="R64" i="4" a="1"/>
  <c r="R64" i="4" s="1"/>
  <c r="R65" i="4" s="1"/>
  <c r="V64" i="4" a="1"/>
  <c r="Z64" i="4" a="1"/>
  <c r="AD64" i="4" a="1"/>
  <c r="AH64" i="4" a="1"/>
  <c r="AH64" i="4" s="1"/>
  <c r="AH65" i="4" s="1"/>
  <c r="AL64" i="4" a="1"/>
  <c r="AP64" i="4" a="1"/>
  <c r="AP64" i="4" s="1"/>
  <c r="AP65" i="4" s="1"/>
  <c r="AT64" i="4" a="1"/>
  <c r="AX64" i="4" a="1"/>
  <c r="AX64" i="4" s="1"/>
  <c r="AX65" i="4" s="1"/>
  <c r="BB64" i="4" a="1"/>
  <c r="BB64" i="4" s="1"/>
  <c r="BB65" i="4" s="1"/>
  <c r="BF64" i="4" a="1"/>
  <c r="BF64" i="4" s="1"/>
  <c r="BF65" i="4" s="1"/>
  <c r="BJ64" i="4" a="1"/>
  <c r="BN64" i="4" a="1"/>
  <c r="BN64" i="4" s="1"/>
  <c r="BN65" i="4" s="1"/>
  <c r="BR64" i="4" a="1"/>
  <c r="BR64" i="4" s="1"/>
  <c r="BR65" i="4" s="1"/>
  <c r="BV64" i="4" a="1"/>
  <c r="BV64" i="4" s="1"/>
  <c r="BV65" i="4" s="1"/>
  <c r="BZ64" i="4" a="1"/>
  <c r="BZ64" i="4" s="1"/>
  <c r="BZ65" i="4" s="1"/>
  <c r="CD64" i="4" a="1"/>
  <c r="CD64" i="4" s="1"/>
  <c r="CD65" i="4" s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D1" i="5"/>
  <c r="BJ64" i="4"/>
  <c r="BJ65" i="4" s="1"/>
  <c r="AT64" i="4"/>
  <c r="AT65" i="4" s="1"/>
  <c r="AL64" i="4"/>
  <c r="AL65" i="4" s="1"/>
  <c r="AD64" i="4"/>
  <c r="AD65" i="4" s="1"/>
  <c r="Z64" i="4"/>
  <c r="Z65" i="4" s="1"/>
  <c r="Z66" i="4" s="1"/>
  <c r="CI49" i="5" s="1"/>
  <c r="V64" i="4"/>
  <c r="V65" i="4" s="1"/>
  <c r="N64" i="4"/>
  <c r="N65" i="4" s="1"/>
  <c r="AH66" i="4" l="1"/>
  <c r="CI51" i="5" s="1"/>
  <c r="AD66" i="4"/>
  <c r="CI50" i="5" s="1"/>
  <c r="CD66" i="4"/>
  <c r="CI63" i="5" s="1"/>
  <c r="AT66" i="4"/>
  <c r="CI54" i="5" s="1"/>
  <c r="BJ66" i="4"/>
  <c r="CI58" i="5" s="1"/>
  <c r="BV66" i="4"/>
  <c r="CI61" i="5" s="1"/>
  <c r="AP66" i="4"/>
  <c r="CI53" i="5" s="1"/>
  <c r="CJ53" i="5" s="1"/>
  <c r="BR66" i="4"/>
  <c r="CI60" i="5" s="1"/>
  <c r="N66" i="4"/>
  <c r="CI46" i="5" s="1"/>
  <c r="BN66" i="4"/>
  <c r="CI59" i="5" s="1"/>
  <c r="V66" i="4"/>
  <c r="CI48" i="5" s="1"/>
  <c r="BF66" i="4"/>
  <c r="CI57" i="5" s="1"/>
  <c r="BB66" i="4"/>
  <c r="CI56" i="5" s="1"/>
  <c r="R66" i="4"/>
  <c r="CI47" i="5" s="1"/>
  <c r="CJ47" i="5" s="1"/>
  <c r="BZ66" i="4"/>
  <c r="CI62" i="5" s="1"/>
  <c r="CJ62" i="5" s="1"/>
  <c r="AL66" i="4"/>
  <c r="CI52" i="5" s="1"/>
  <c r="AX66" i="4"/>
  <c r="CI55" i="5" s="1"/>
  <c r="F66" i="4"/>
  <c r="CI44" i="5" s="1"/>
  <c r="CJ44" i="5" s="1"/>
  <c r="J66" i="4"/>
  <c r="CI45" i="5" s="1"/>
  <c r="CJ45" i="5" s="1"/>
  <c r="CJ60" i="5" l="1"/>
  <c r="CJ61" i="5"/>
  <c r="CJ56" i="5"/>
  <c r="CJ58" i="5"/>
  <c r="CJ49" i="5"/>
  <c r="CJ54" i="5"/>
  <c r="CJ48" i="5"/>
  <c r="CJ63" i="5"/>
  <c r="CJ55" i="5"/>
  <c r="CJ50" i="5"/>
  <c r="CJ57" i="5"/>
  <c r="CJ59" i="5"/>
  <c r="CJ52" i="5"/>
  <c r="CJ46" i="5"/>
  <c r="AL64" i="5" s="1" a="1"/>
  <c r="AL64" i="5" s="1"/>
  <c r="AL65" i="5" s="1"/>
  <c r="CJ51" i="5"/>
  <c r="BV64" i="5" l="1" a="1"/>
  <c r="BV64" i="5" s="1"/>
  <c r="BV65" i="5" s="1"/>
  <c r="V64" i="5" a="1"/>
  <c r="V64" i="5" s="1"/>
  <c r="V65" i="5" s="1"/>
  <c r="BF64" i="5" a="1"/>
  <c r="BF64" i="5" s="1"/>
  <c r="BF65" i="5" s="1"/>
  <c r="CD64" i="5" a="1"/>
  <c r="CD64" i="5" s="1"/>
  <c r="CD65" i="5" s="1"/>
  <c r="R64" i="5" a="1"/>
  <c r="R64" i="5" s="1"/>
  <c r="R65" i="5" s="1"/>
  <c r="F64" i="5" a="1"/>
  <c r="F64" i="5" s="1"/>
  <c r="F65" i="5" s="1"/>
  <c r="AP64" i="5" a="1"/>
  <c r="AP64" i="5" s="1"/>
  <c r="AP65" i="5" s="1"/>
  <c r="BZ64" i="5" a="1"/>
  <c r="BZ64" i="5" s="1"/>
  <c r="BZ65" i="5" s="1"/>
  <c r="Z64" i="5" a="1"/>
  <c r="Z64" i="5" s="1"/>
  <c r="Z65" i="5" s="1"/>
  <c r="AH64" i="5" a="1"/>
  <c r="AH64" i="5" s="1"/>
  <c r="AH65" i="5" s="1"/>
  <c r="BJ64" i="5" a="1"/>
  <c r="BJ64" i="5" s="1"/>
  <c r="BJ65" i="5" s="1"/>
  <c r="J64" i="5" a="1"/>
  <c r="J64" i="5" s="1"/>
  <c r="J65" i="5" s="1"/>
  <c r="AT64" i="5" a="1"/>
  <c r="AT64" i="5" s="1"/>
  <c r="AT65" i="5" s="1"/>
  <c r="BR64" i="5" a="1"/>
  <c r="BR64" i="5" s="1"/>
  <c r="BR65" i="5" s="1"/>
  <c r="BN64" i="5" a="1"/>
  <c r="BN64" i="5" s="1"/>
  <c r="BN65" i="5" s="1"/>
  <c r="AD64" i="5" a="1"/>
  <c r="AD64" i="5" s="1"/>
  <c r="AD65" i="5" s="1"/>
  <c r="BB64" i="5" a="1"/>
  <c r="BB64" i="5" s="1"/>
  <c r="BB65" i="5" s="1"/>
  <c r="AX64" i="5" a="1"/>
  <c r="AX64" i="5" s="1"/>
  <c r="AX65" i="5" s="1"/>
  <c r="N64" i="5" a="1"/>
  <c r="N64" i="5" s="1"/>
  <c r="N65" i="5" s="1"/>
  <c r="N66" i="5" s="1"/>
  <c r="BN66" i="5" l="1"/>
  <c r="AP66" i="5"/>
  <c r="BR66" i="5"/>
  <c r="F66" i="5"/>
  <c r="AT66" i="5"/>
  <c r="R66" i="5"/>
  <c r="J66" i="5"/>
  <c r="CD66" i="5"/>
  <c r="BJ66" i="5"/>
  <c r="BF66" i="5"/>
  <c r="AH66" i="5"/>
  <c r="V66" i="5"/>
  <c r="AX66" i="5"/>
  <c r="Z66" i="5"/>
  <c r="BV66" i="5"/>
  <c r="BB66" i="5"/>
  <c r="AD66" i="5"/>
  <c r="BZ66" i="5"/>
  <c r="AL66" i="5"/>
</calcChain>
</file>

<file path=xl/sharedStrings.xml><?xml version="1.0" encoding="utf-8"?>
<sst xmlns="http://schemas.openxmlformats.org/spreadsheetml/2006/main" count="83" uniqueCount="36">
  <si>
    <t>Project Name:</t>
  </si>
  <si>
    <t>Enter Name Here</t>
  </si>
  <si>
    <t>First House</t>
  </si>
  <si>
    <t>KEY</t>
  </si>
  <si>
    <t>Strong Positive Correlation</t>
  </si>
  <si>
    <t>+++</t>
  </si>
  <si>
    <t>Medium Positive Correlation</t>
  </si>
  <si>
    <t>++</t>
  </si>
  <si>
    <t>Weak Positive Correlation</t>
  </si>
  <si>
    <t>+</t>
  </si>
  <si>
    <t>No Correlation</t>
  </si>
  <si>
    <t>Strong Negative Correlation</t>
  </si>
  <si>
    <t>-</t>
  </si>
  <si>
    <t>Medium Negative Correlation</t>
  </si>
  <si>
    <t>- -</t>
  </si>
  <si>
    <t>Weak Negative Correlation</t>
  </si>
  <si>
    <t xml:space="preserve">- - - </t>
  </si>
  <si>
    <t>Interactions</t>
  </si>
  <si>
    <t>Customer and Competitive Evaluation</t>
  </si>
  <si>
    <t>Importance: 5 High, 1 Low</t>
  </si>
  <si>
    <t>Scale: 1 Bad, 5 Good</t>
  </si>
  <si>
    <t>Feature Raw Score</t>
  </si>
  <si>
    <t>Feature Rank</t>
  </si>
  <si>
    <t>Deployment Priorities</t>
  </si>
  <si>
    <t>Key</t>
  </si>
  <si>
    <t>No correlation</t>
  </si>
  <si>
    <t>- - -</t>
  </si>
  <si>
    <t>Second House</t>
  </si>
  <si>
    <t>Priority from First House</t>
  </si>
  <si>
    <t>HOWs - Component Specifications</t>
  </si>
  <si>
    <t>© Copyright MoreSteam.com, LLC, 2005</t>
  </si>
  <si>
    <t>© Copyright 2005, MoreSteam.com, LLC</t>
  </si>
  <si>
    <t>Altering or deleting this sheet is a violation of copyright law</t>
  </si>
  <si>
    <t>WHATs - Stakeholder Characteristics</t>
  </si>
  <si>
    <t>HOWs - System Objectives</t>
  </si>
  <si>
    <t>WHATs - System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</si>
</sst>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>
    <font>
      <sz val="10"/>
      <name val="Arial"/>
    </font>
    <font>
      <sz val="10"/>
      <name val="Arial"/>
    </font>
    <font>
      <b/>
      <sz val="16"/>
      <color indexed="62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color indexed="62"/>
      <name val="Arial"/>
      <family val="2"/>
    </font>
    <font>
      <sz val="14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sz val="8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6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26"/>
      <name val="Arial"/>
      <family val="2"/>
    </font>
    <font>
      <sz val="2"/>
      <color indexed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</fills>
  <borders count="25">
    <border>
      <left/>
      <right/>
      <top/>
      <bottom/>
      <diagonal/>
    </border>
    <border diagonalUp="1">
      <left/>
      <right/>
      <top/>
      <bottom/>
      <diagonal style="thin">
        <color indexed="55"/>
      </diagonal>
    </border>
    <border diagonalDown="1">
      <left/>
      <right/>
      <top/>
      <bottom/>
      <diagonal style="thin">
        <color indexed="55"/>
      </diagonal>
    </border>
    <border diagonalDown="1">
      <left/>
      <right/>
      <top/>
      <bottom/>
      <diagonal style="thin">
        <color indexed="23"/>
      </diagonal>
    </border>
    <border diagonalUp="1">
      <left/>
      <right/>
      <top/>
      <bottom style="thin">
        <color indexed="55"/>
      </bottom>
      <diagonal style="thin">
        <color indexed="55"/>
      </diagonal>
    </border>
    <border diagonalDown="1">
      <left/>
      <right/>
      <top/>
      <bottom style="thin">
        <color indexed="55"/>
      </bottom>
      <diagonal style="thin">
        <color indexed="55"/>
      </diagonal>
    </border>
    <border diagonalDown="1">
      <left/>
      <right/>
      <top/>
      <bottom style="thin">
        <color indexed="64"/>
      </bottom>
      <diagonal style="thin">
        <color indexed="55"/>
      </diagonal>
    </border>
    <border diagonalUp="1">
      <left/>
      <right/>
      <top/>
      <bottom style="thin">
        <color indexed="64"/>
      </bottom>
      <diagonal style="thin">
        <color indexed="55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/>
      <right/>
      <top/>
      <bottom/>
      <diagonal style="thin">
        <color indexed="55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55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40">
    <xf numFmtId="0" fontId="0" fillId="0" borderId="0" xfId="0"/>
    <xf numFmtId="0" fontId="4" fillId="0" borderId="0" xfId="4" applyFont="1"/>
    <xf numFmtId="44" fontId="4" fillId="0" borderId="0" xfId="1" applyFont="1" applyBorder="1" applyAlignment="1" applyProtection="1">
      <alignment horizontal="center" vertical="center"/>
      <protection locked="0"/>
    </xf>
    <xf numFmtId="44" fontId="4" fillId="2" borderId="0" xfId="1" applyFont="1" applyFill="1" applyBorder="1" applyAlignment="1"/>
    <xf numFmtId="44" fontId="4" fillId="2" borderId="1" xfId="1" applyFont="1" applyFill="1" applyBorder="1" applyAlignment="1"/>
    <xf numFmtId="44" fontId="4" fillId="2" borderId="2" xfId="1" applyFont="1" applyFill="1" applyBorder="1" applyAlignment="1"/>
    <xf numFmtId="0" fontId="5" fillId="0" borderId="0" xfId="4" applyFont="1" applyBorder="1"/>
    <xf numFmtId="44" fontId="5" fillId="2" borderId="0" xfId="1" applyFont="1" applyFill="1" applyBorder="1" applyAlignment="1"/>
    <xf numFmtId="44" fontId="5" fillId="2" borderId="1" xfId="1" applyFont="1" applyFill="1" applyBorder="1" applyAlignment="1"/>
    <xf numFmtId="44" fontId="5" fillId="2" borderId="2" xfId="1" applyFont="1" applyFill="1" applyBorder="1" applyAlignment="1"/>
    <xf numFmtId="0" fontId="5" fillId="0" borderId="0" xfId="4" applyFont="1"/>
    <xf numFmtId="0" fontId="4" fillId="0" borderId="0" xfId="4" applyFont="1" applyAlignment="1"/>
    <xf numFmtId="0" fontId="6" fillId="0" borderId="0" xfId="4" applyFont="1" applyBorder="1" applyAlignment="1"/>
    <xf numFmtId="0" fontId="6" fillId="0" borderId="0" xfId="4" applyFont="1" applyBorder="1"/>
    <xf numFmtId="44" fontId="6" fillId="2" borderId="0" xfId="1" applyFont="1" applyFill="1" applyBorder="1" applyAlignment="1"/>
    <xf numFmtId="44" fontId="6" fillId="2" borderId="1" xfId="1" applyFont="1" applyFill="1" applyBorder="1" applyAlignment="1"/>
    <xf numFmtId="44" fontId="6" fillId="2" borderId="2" xfId="1" applyFont="1" applyFill="1" applyBorder="1" applyAlignment="1"/>
    <xf numFmtId="0" fontId="6" fillId="0" borderId="0" xfId="4" applyFont="1"/>
    <xf numFmtId="0" fontId="4" fillId="2" borderId="0" xfId="2" applyFont="1" applyFill="1"/>
    <xf numFmtId="44" fontId="4" fillId="2" borderId="0" xfId="1" applyFont="1" applyFill="1"/>
    <xf numFmtId="44" fontId="6" fillId="2" borderId="0" xfId="1" applyFont="1" applyFill="1" applyBorder="1"/>
    <xf numFmtId="44" fontId="6" fillId="2" borderId="0" xfId="1" applyFont="1" applyFill="1"/>
    <xf numFmtId="44" fontId="4" fillId="0" borderId="0" xfId="1" applyFont="1"/>
    <xf numFmtId="44" fontId="6" fillId="0" borderId="0" xfId="1" applyFont="1" applyBorder="1" applyAlignment="1" applyProtection="1">
      <alignment horizontal="center" vertical="center"/>
      <protection locked="0"/>
    </xf>
    <xf numFmtId="44" fontId="4" fillId="0" borderId="0" xfId="1" applyFont="1" applyFill="1"/>
    <xf numFmtId="44" fontId="4" fillId="0" borderId="0" xfId="1" applyFont="1" applyBorder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44" fontId="6" fillId="2" borderId="3" xfId="1" applyFont="1" applyFill="1" applyBorder="1" applyAlignment="1"/>
    <xf numFmtId="44" fontId="4" fillId="2" borderId="0" xfId="1" applyFont="1" applyFill="1" applyBorder="1"/>
    <xf numFmtId="0" fontId="6" fillId="0" borderId="0" xfId="4" applyFont="1" applyAlignment="1"/>
    <xf numFmtId="44" fontId="6" fillId="2" borderId="4" xfId="1" applyFont="1" applyFill="1" applyBorder="1" applyAlignment="1"/>
    <xf numFmtId="44" fontId="6" fillId="2" borderId="5" xfId="1" applyFont="1" applyFill="1" applyBorder="1" applyAlignment="1"/>
    <xf numFmtId="44" fontId="6" fillId="2" borderId="6" xfId="1" applyFont="1" applyFill="1" applyBorder="1" applyAlignment="1"/>
    <xf numFmtId="44" fontId="6" fillId="2" borderId="7" xfId="1" applyFont="1" applyFill="1" applyBorder="1" applyAlignment="1"/>
    <xf numFmtId="0" fontId="4" fillId="2" borderId="0" xfId="4" applyFont="1" applyFill="1"/>
    <xf numFmtId="0" fontId="4" fillId="0" borderId="0" xfId="4" applyFont="1" applyAlignment="1">
      <alignment horizontal="center" vertical="center"/>
    </xf>
    <xf numFmtId="0" fontId="8" fillId="2" borderId="8" xfId="4" applyFont="1" applyFill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4" fillId="2" borderId="9" xfId="4" applyFont="1" applyFill="1" applyBorder="1" applyAlignment="1">
      <alignment horizontal="left" vertical="center"/>
    </xf>
    <xf numFmtId="0" fontId="8" fillId="2" borderId="8" xfId="4" applyFont="1" applyFill="1" applyBorder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0" fontId="12" fillId="2" borderId="0" xfId="4" applyFont="1" applyFill="1"/>
    <xf numFmtId="0" fontId="8" fillId="2" borderId="0" xfId="4" applyFont="1" applyFill="1"/>
    <xf numFmtId="0" fontId="4" fillId="2" borderId="0" xfId="4" quotePrefix="1" applyFont="1" applyFill="1" applyAlignment="1">
      <alignment horizontal="center"/>
    </xf>
    <xf numFmtId="0" fontId="14" fillId="2" borderId="0" xfId="4" applyFont="1" applyFill="1"/>
    <xf numFmtId="0" fontId="4" fillId="2" borderId="0" xfId="2" applyFont="1" applyFill="1" applyAlignment="1"/>
    <xf numFmtId="0" fontId="4" fillId="0" borderId="0" xfId="2" applyFont="1" applyAlignment="1"/>
    <xf numFmtId="0" fontId="15" fillId="3" borderId="8" xfId="2" quotePrefix="1" applyFont="1" applyFill="1" applyBorder="1" applyAlignment="1">
      <alignment horizontal="center"/>
    </xf>
    <xf numFmtId="0" fontId="15" fillId="4" borderId="8" xfId="2" quotePrefix="1" applyFont="1" applyFill="1" applyBorder="1" applyAlignment="1">
      <alignment horizontal="center"/>
    </xf>
    <xf numFmtId="0" fontId="15" fillId="5" borderId="8" xfId="2" quotePrefix="1" applyFont="1" applyFill="1" applyBorder="1" applyAlignment="1">
      <alignment horizontal="center"/>
    </xf>
    <xf numFmtId="0" fontId="15" fillId="0" borderId="8" xfId="4" applyFont="1" applyBorder="1" applyAlignment="1">
      <alignment horizontal="center"/>
    </xf>
    <xf numFmtId="0" fontId="15" fillId="6" borderId="8" xfId="2" quotePrefix="1" applyFont="1" applyFill="1" applyBorder="1" applyAlignment="1">
      <alignment horizontal="center"/>
    </xf>
    <xf numFmtId="0" fontId="15" fillId="7" borderId="8" xfId="2" quotePrefix="1" applyFont="1" applyFill="1" applyBorder="1" applyAlignment="1">
      <alignment horizontal="center"/>
    </xf>
    <xf numFmtId="0" fontId="15" fillId="8" borderId="8" xfId="2" quotePrefix="1" applyFont="1" applyFill="1" applyBorder="1" applyAlignment="1">
      <alignment horizontal="center"/>
    </xf>
    <xf numFmtId="0" fontId="4" fillId="0" borderId="0" xfId="4" applyFont="1" applyBorder="1" applyAlignment="1">
      <alignment horizontal="center" vertical="center" wrapText="1"/>
    </xf>
    <xf numFmtId="0" fontId="4" fillId="0" borderId="0" xfId="4" applyFont="1" applyBorder="1" applyAlignment="1">
      <alignment horizontal="left" vertical="center"/>
    </xf>
    <xf numFmtId="0" fontId="8" fillId="0" borderId="0" xfId="4" applyFont="1"/>
    <xf numFmtId="0" fontId="17" fillId="0" borderId="0" xfId="0" applyFont="1"/>
    <xf numFmtId="0" fontId="18" fillId="0" borderId="0" xfId="0" applyFont="1"/>
    <xf numFmtId="0" fontId="4" fillId="2" borderId="0" xfId="4" applyFont="1" applyFill="1" applyAlignment="1"/>
    <xf numFmtId="0" fontId="13" fillId="9" borderId="0" xfId="4" applyFont="1" applyFill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0" borderId="12" xfId="2" applyFont="1" applyBorder="1" applyAlignment="1"/>
    <xf numFmtId="0" fontId="8" fillId="2" borderId="13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0" borderId="14" xfId="4" applyFont="1" applyBorder="1" applyAlignment="1">
      <alignment textRotation="90"/>
    </xf>
    <xf numFmtId="0" fontId="8" fillId="0" borderId="15" xfId="2" applyFont="1" applyBorder="1" applyAlignment="1">
      <alignment textRotation="90"/>
    </xf>
    <xf numFmtId="0" fontId="10" fillId="9" borderId="16" xfId="4" applyFont="1" applyFill="1" applyBorder="1" applyAlignment="1">
      <alignment horizontal="center" vertical="center" wrapText="1"/>
    </xf>
    <xf numFmtId="0" fontId="8" fillId="0" borderId="16" xfId="2" applyFont="1" applyBorder="1" applyAlignment="1">
      <alignment horizontal="center" vertical="center" wrapText="1"/>
    </xf>
    <xf numFmtId="0" fontId="4" fillId="2" borderId="17" xfId="4" applyFont="1" applyFill="1" applyBorder="1" applyAlignment="1">
      <alignment horizontal="center" textRotation="90"/>
    </xf>
    <xf numFmtId="0" fontId="4" fillId="0" borderId="18" xfId="4" applyFont="1" applyBorder="1" applyAlignment="1">
      <alignment horizontal="center" textRotation="90"/>
    </xf>
    <xf numFmtId="0" fontId="4" fillId="0" borderId="19" xfId="4" applyFont="1" applyBorder="1" applyAlignment="1">
      <alignment horizontal="center" textRotation="90"/>
    </xf>
    <xf numFmtId="0" fontId="4" fillId="0" borderId="20" xfId="4" applyFont="1" applyBorder="1" applyAlignment="1">
      <alignment horizontal="center" textRotation="90"/>
    </xf>
    <xf numFmtId="0" fontId="4" fillId="0" borderId="16" xfId="4" applyFont="1" applyBorder="1" applyAlignment="1">
      <alignment horizontal="center" textRotation="90"/>
    </xf>
    <xf numFmtId="0" fontId="4" fillId="0" borderId="21" xfId="4" applyFont="1" applyBorder="1" applyAlignment="1">
      <alignment horizontal="center" textRotation="90"/>
    </xf>
    <xf numFmtId="0" fontId="4" fillId="0" borderId="22" xfId="4" applyFont="1" applyBorder="1" applyAlignment="1">
      <alignment horizontal="center" textRotation="90"/>
    </xf>
    <xf numFmtId="44" fontId="6" fillId="2" borderId="16" xfId="1" applyFont="1" applyFill="1" applyBorder="1" applyAlignment="1"/>
    <xf numFmtId="0" fontId="4" fillId="2" borderId="14" xfId="4" applyFont="1" applyFill="1" applyBorder="1" applyAlignment="1">
      <alignment horizontal="center" vertical="center" textRotation="90"/>
    </xf>
    <xf numFmtId="0" fontId="4" fillId="0" borderId="23" xfId="2" applyFont="1" applyBorder="1" applyAlignment="1"/>
    <xf numFmtId="0" fontId="4" fillId="0" borderId="15" xfId="2" applyFont="1" applyBorder="1" applyAlignment="1"/>
    <xf numFmtId="44" fontId="11" fillId="2" borderId="11" xfId="1" applyFont="1" applyFill="1" applyBorder="1" applyAlignment="1">
      <alignment horizontal="center" vertical="center"/>
    </xf>
    <xf numFmtId="44" fontId="11" fillId="2" borderId="13" xfId="1" applyFont="1" applyFill="1" applyBorder="1" applyAlignment="1">
      <alignment horizontal="center" vertical="center"/>
    </xf>
    <xf numFmtId="44" fontId="11" fillId="2" borderId="12" xfId="1" applyFont="1" applyFill="1" applyBorder="1" applyAlignment="1">
      <alignment horizontal="center" vertical="center"/>
    </xf>
    <xf numFmtId="0" fontId="10" fillId="9" borderId="19" xfId="4" applyFont="1" applyFill="1" applyBorder="1" applyAlignment="1">
      <alignment horizontal="center" vertical="center" textRotation="90" wrapText="1"/>
    </xf>
    <xf numFmtId="0" fontId="10" fillId="9" borderId="19" xfId="2" applyFont="1" applyFill="1" applyBorder="1" applyAlignment="1">
      <alignment horizontal="center" vertical="center" textRotation="90" wrapText="1"/>
    </xf>
    <xf numFmtId="44" fontId="6" fillId="2" borderId="24" xfId="1" applyFont="1" applyFill="1" applyBorder="1" applyAlignment="1"/>
    <xf numFmtId="44" fontId="6" fillId="2" borderId="0" xfId="1" applyFont="1" applyFill="1" applyBorder="1" applyAlignment="1"/>
    <xf numFmtId="44" fontId="6" fillId="2" borderId="0" xfId="1" applyFont="1" applyFill="1" applyBorder="1" applyAlignment="1">
      <alignment horizontal="center" vertical="center"/>
    </xf>
    <xf numFmtId="0" fontId="6" fillId="0" borderId="0" xfId="4" applyFont="1" applyBorder="1" applyAlignment="1"/>
    <xf numFmtId="44" fontId="6" fillId="2" borderId="10" xfId="1" applyFont="1" applyFill="1" applyBorder="1" applyAlignment="1"/>
    <xf numFmtId="0" fontId="6" fillId="0" borderId="10" xfId="4" applyFont="1" applyBorder="1" applyAlignment="1"/>
    <xf numFmtId="44" fontId="10" fillId="9" borderId="0" xfId="1" applyFont="1" applyFill="1" applyAlignment="1">
      <alignment horizontal="center" vertical="center" wrapText="1"/>
    </xf>
    <xf numFmtId="0" fontId="8" fillId="0" borderId="0" xfId="2" applyFont="1" applyAlignment="1"/>
    <xf numFmtId="0" fontId="6" fillId="0" borderId="0" xfId="4" applyFont="1" applyAlignment="1"/>
    <xf numFmtId="44" fontId="4" fillId="0" borderId="0" xfId="1" applyFont="1" applyFill="1" applyAlignment="1">
      <alignment horizontal="center"/>
    </xf>
    <xf numFmtId="0" fontId="4" fillId="0" borderId="0" xfId="4" applyFont="1" applyFill="1" applyAlignment="1"/>
    <xf numFmtId="44" fontId="9" fillId="9" borderId="0" xfId="1" applyFont="1" applyFill="1" applyBorder="1" applyAlignment="1">
      <alignment horizontal="center" vertical="center"/>
    </xf>
    <xf numFmtId="0" fontId="3" fillId="0" borderId="0" xfId="2" applyFont="1" applyAlignment="1"/>
    <xf numFmtId="0" fontId="8" fillId="2" borderId="0" xfId="2" applyFont="1" applyFill="1" applyBorder="1" applyAlignment="1"/>
    <xf numFmtId="0" fontId="8" fillId="0" borderId="0" xfId="2" applyFont="1" applyBorder="1" applyAlignment="1"/>
    <xf numFmtId="0" fontId="8" fillId="0" borderId="0" xfId="3" applyFont="1" applyBorder="1" applyAlignment="1"/>
    <xf numFmtId="0" fontId="1" fillId="0" borderId="19" xfId="3" applyBorder="1" applyAlignment="1"/>
    <xf numFmtId="0" fontId="4" fillId="7" borderId="8" xfId="2" quotePrefix="1" applyFont="1" applyFill="1" applyBorder="1" applyAlignment="1">
      <alignment horizontal="center"/>
    </xf>
    <xf numFmtId="0" fontId="4" fillId="7" borderId="8" xfId="2" applyFont="1" applyFill="1" applyBorder="1" applyAlignment="1">
      <alignment horizontal="center"/>
    </xf>
    <xf numFmtId="0" fontId="4" fillId="8" borderId="8" xfId="2" quotePrefix="1" applyFont="1" applyFill="1" applyBorder="1" applyAlignment="1">
      <alignment horizontal="center"/>
    </xf>
    <xf numFmtId="0" fontId="4" fillId="8" borderId="8" xfId="2" applyFont="1" applyFill="1" applyBorder="1" applyAlignment="1">
      <alignment horizontal="center"/>
    </xf>
    <xf numFmtId="0" fontId="4" fillId="6" borderId="8" xfId="2" quotePrefix="1" applyFont="1" applyFill="1" applyBorder="1" applyAlignment="1">
      <alignment horizontal="center"/>
    </xf>
    <xf numFmtId="0" fontId="4" fillId="6" borderId="8" xfId="2" applyFont="1" applyFill="1" applyBorder="1" applyAlignment="1">
      <alignment horizontal="center"/>
    </xf>
    <xf numFmtId="0" fontId="4" fillId="0" borderId="8" xfId="4" applyFont="1" applyBorder="1" applyAlignment="1"/>
    <xf numFmtId="0" fontId="4" fillId="5" borderId="8" xfId="2" quotePrefix="1" applyFont="1" applyFill="1" applyBorder="1" applyAlignment="1">
      <alignment horizontal="center"/>
    </xf>
    <xf numFmtId="0" fontId="4" fillId="5" borderId="8" xfId="2" applyFont="1" applyFill="1" applyBorder="1" applyAlignment="1">
      <alignment horizontal="center"/>
    </xf>
    <xf numFmtId="0" fontId="4" fillId="4" borderId="8" xfId="2" quotePrefix="1" applyFont="1" applyFill="1" applyBorder="1" applyAlignment="1">
      <alignment horizontal="center"/>
    </xf>
    <xf numFmtId="0" fontId="4" fillId="4" borderId="8" xfId="2" applyFont="1" applyFill="1" applyBorder="1" applyAlignment="1">
      <alignment horizontal="center"/>
    </xf>
    <xf numFmtId="0" fontId="4" fillId="3" borderId="8" xfId="2" quotePrefix="1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/>
    </xf>
    <xf numFmtId="0" fontId="7" fillId="2" borderId="0" xfId="2" applyFont="1" applyFill="1" applyAlignment="1"/>
    <xf numFmtId="0" fontId="8" fillId="0" borderId="0" xfId="3" applyFont="1" applyAlignment="1"/>
    <xf numFmtId="44" fontId="2" fillId="2" borderId="0" xfId="1" applyFont="1" applyFill="1" applyBorder="1" applyAlignment="1">
      <alignment horizontal="center" vertical="center"/>
    </xf>
    <xf numFmtId="0" fontId="3" fillId="0" borderId="0" xfId="4" applyFont="1" applyAlignment="1"/>
    <xf numFmtId="44" fontId="2" fillId="10" borderId="0" xfId="1" applyFont="1" applyFill="1" applyBorder="1" applyAlignment="1" applyProtection="1">
      <alignment horizontal="center" vertical="center"/>
      <protection locked="0"/>
    </xf>
    <xf numFmtId="44" fontId="5" fillId="2" borderId="0" xfId="1" applyFont="1" applyFill="1" applyBorder="1" applyAlignment="1">
      <alignment horizontal="center" vertical="center"/>
    </xf>
    <xf numFmtId="0" fontId="5" fillId="0" borderId="0" xfId="4" applyFont="1" applyBorder="1" applyAlignment="1"/>
    <xf numFmtId="0" fontId="4" fillId="2" borderId="0" xfId="4" applyFont="1" applyFill="1" applyBorder="1" applyAlignment="1"/>
    <xf numFmtId="0" fontId="8" fillId="2" borderId="11" xfId="4" applyFont="1" applyFill="1" applyBorder="1" applyAlignment="1">
      <alignment horizontal="left" vertical="center"/>
    </xf>
    <xf numFmtId="0" fontId="8" fillId="0" borderId="12" xfId="2" applyFont="1" applyBorder="1" applyAlignment="1">
      <alignment horizontal="left" vertical="center"/>
    </xf>
    <xf numFmtId="0" fontId="8" fillId="2" borderId="17" xfId="4" applyFont="1" applyFill="1" applyBorder="1" applyAlignment="1"/>
    <xf numFmtId="0" fontId="8" fillId="0" borderId="18" xfId="4" applyFont="1" applyBorder="1" applyAlignment="1"/>
    <xf numFmtId="0" fontId="8" fillId="0" borderId="22" xfId="4" applyFont="1" applyBorder="1" applyAlignment="1"/>
    <xf numFmtId="0" fontId="8" fillId="0" borderId="20" xfId="4" applyFont="1" applyBorder="1" applyAlignment="1"/>
    <xf numFmtId="0" fontId="8" fillId="0" borderId="16" xfId="4" applyFont="1" applyBorder="1" applyAlignment="1"/>
    <xf numFmtId="0" fontId="8" fillId="0" borderId="21" xfId="4" applyFont="1" applyBorder="1" applyAlignment="1"/>
    <xf numFmtId="0" fontId="8" fillId="0" borderId="19" xfId="2" applyFont="1" applyBorder="1" applyAlignment="1"/>
    <xf numFmtId="0" fontId="4" fillId="2" borderId="8" xfId="4" applyFont="1" applyFill="1" applyBorder="1" applyAlignment="1">
      <alignment horizontal="center" vertical="center" textRotation="90"/>
    </xf>
    <xf numFmtId="0" fontId="4" fillId="0" borderId="8" xfId="2" applyFont="1" applyBorder="1" applyAlignment="1"/>
    <xf numFmtId="0" fontId="8" fillId="0" borderId="8" xfId="4" applyFont="1" applyBorder="1" applyAlignment="1">
      <alignment textRotation="90"/>
    </xf>
    <xf numFmtId="0" fontId="8" fillId="0" borderId="8" xfId="2" applyFont="1" applyBorder="1" applyAlignment="1">
      <alignment textRotation="90"/>
    </xf>
    <xf numFmtId="0" fontId="8" fillId="0" borderId="0" xfId="2" applyFont="1" applyAlignment="1">
      <alignment wrapText="1"/>
    </xf>
    <xf numFmtId="44" fontId="10" fillId="9" borderId="0" xfId="1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_qfd_3" xfId="2" xr:uid="{00000000-0005-0000-0000-000002000000}"/>
    <cellStyle name="Normal_qfd_prototype" xfId="3" xr:uid="{00000000-0005-0000-0000-000003000000}"/>
    <cellStyle name="Normal_qfd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1511300</xdr:colOff>
      <xdr:row>30</xdr:row>
      <xdr:rowOff>38100</xdr:rowOff>
    </xdr:from>
    <xdr:to>
      <xdr:col>8</xdr:col>
      <xdr:colOff>50800</xdr:colOff>
      <xdr:row>36</xdr:row>
      <xdr:rowOff>25400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D8FDF68-B465-1A40-A640-E06D8C890F01}"/>
            </a:ext>
          </a:extLst>
        </xdr:cNvPr>
        <xdr:cNvSpPr>
          <a:spLocks noChangeShapeType="1"/>
        </xdr:cNvSpPr>
      </xdr:nvSpPr>
      <xdr:spPr bwMode="auto">
        <a:xfrm>
          <a:off x="5295900" y="3238500"/>
          <a:ext cx="939800" cy="5969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28</xdr:row>
      <xdr:rowOff>50800</xdr:rowOff>
    </xdr:from>
    <xdr:to>
      <xdr:col>10</xdr:col>
      <xdr:colOff>76200</xdr:colOff>
      <xdr:row>34</xdr:row>
      <xdr:rowOff>38100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50DD5811-EC78-044D-A85C-D48E2D067BBE}"/>
            </a:ext>
          </a:extLst>
        </xdr:cNvPr>
        <xdr:cNvSpPr>
          <a:spLocks noChangeShapeType="1"/>
        </xdr:cNvSpPr>
      </xdr:nvSpPr>
      <xdr:spPr bwMode="auto">
        <a:xfrm>
          <a:off x="3378200" y="3048000"/>
          <a:ext cx="1155700" cy="5969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333399" mc:Ignorable="a14" a14:legacySpreadsheetColorIndex="6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Maurice%20Klaus/My%20Documents/dfss/design_scorecar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cr"/>
      <sheetName val="Scorecard"/>
      <sheetName val="Progress"/>
    </sheetNames>
    <sheetDataSet>
      <sheetData sheetId="0" refreshError="1"/>
      <sheetData sheetId="1"/>
      <sheetData sheetId="2">
        <row r="4">
          <cell r="E4">
            <v>36892</v>
          </cell>
        </row>
        <row r="25">
          <cell r="B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DQ218"/>
  <sheetViews>
    <sheetView showGridLines="0" showRowColHeaders="0" tabSelected="1" topLeftCell="B1" zoomScale="50" workbookViewId="0">
      <selection activeCell="C55" sqref="C55"/>
    </sheetView>
  </sheetViews>
  <sheetFormatPr baseColWidth="10" defaultColWidth="9.1640625" defaultRowHeight="16"/>
  <cols>
    <col min="1" max="1" width="2.6640625" style="1" customWidth="1"/>
    <col min="2" max="2" width="32.6640625" style="1" customWidth="1"/>
    <col min="3" max="3" width="33.5" style="1" customWidth="1"/>
    <col min="4" max="4" width="0.6640625" style="1" customWidth="1"/>
    <col min="5" max="5" width="6.6640625" style="1" customWidth="1"/>
    <col min="6" max="85" width="1.6640625" style="1" customWidth="1"/>
    <col min="86" max="86" width="1.5" style="1" customWidth="1"/>
    <col min="87" max="87" width="6.6640625" style="1" customWidth="1"/>
    <col min="88" max="88" width="2.1640625" style="1" customWidth="1"/>
    <col min="89" max="93" width="4.5" style="1" customWidth="1"/>
    <col min="94" max="94" width="7.5" style="1" customWidth="1"/>
    <col min="95" max="95" width="3.6640625" style="1" customWidth="1"/>
    <col min="96" max="16384" width="9.1640625" style="1"/>
  </cols>
  <sheetData>
    <row r="1" spans="1:94" ht="20">
      <c r="A1" s="119" t="s">
        <v>0</v>
      </c>
      <c r="B1" s="120"/>
      <c r="C1" s="120"/>
      <c r="D1" s="121" t="s">
        <v>1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spans="1:94" ht="8" customHeight="1">
      <c r="A2" s="120"/>
      <c r="B2" s="120"/>
      <c r="C2" s="120"/>
      <c r="D2" s="2"/>
      <c r="AR2" s="3"/>
      <c r="AS2" s="4"/>
      <c r="AT2" s="5"/>
      <c r="AU2" s="3"/>
    </row>
    <row r="3" spans="1:94" ht="8" customHeight="1"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  <c r="AR3" s="8"/>
      <c r="AS3" s="122"/>
      <c r="AT3" s="123"/>
      <c r="AU3" s="9"/>
      <c r="AV3" s="7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10"/>
      <c r="BZ3" s="10"/>
    </row>
    <row r="4" spans="1:94" ht="8" customHeight="1"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8"/>
      <c r="AR4" s="9"/>
      <c r="AS4" s="123"/>
      <c r="AT4" s="123"/>
      <c r="AU4" s="8"/>
      <c r="AV4" s="9"/>
      <c r="AW4" s="7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10"/>
      <c r="BZ4" s="10"/>
    </row>
    <row r="5" spans="1:94" ht="8" customHeight="1">
      <c r="F5" s="11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P5" s="15"/>
      <c r="AQ5" s="89"/>
      <c r="AR5" s="90"/>
      <c r="AS5" s="91"/>
      <c r="AT5" s="92"/>
      <c r="AU5" s="89"/>
      <c r="AV5" s="90"/>
      <c r="AW5" s="16"/>
      <c r="AX5" s="14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7"/>
      <c r="BZ5" s="17"/>
    </row>
    <row r="6" spans="1:94" ht="8" customHeight="1">
      <c r="C6" s="119" t="s">
        <v>2</v>
      </c>
      <c r="D6" s="120"/>
      <c r="E6" s="120"/>
      <c r="F6" s="11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4"/>
      <c r="AO6" s="15"/>
      <c r="AP6" s="16"/>
      <c r="AQ6" s="90"/>
      <c r="AR6" s="90"/>
      <c r="AS6" s="92"/>
      <c r="AT6" s="92"/>
      <c r="AU6" s="90"/>
      <c r="AV6" s="90"/>
      <c r="AW6" s="15"/>
      <c r="AX6" s="16"/>
      <c r="AY6" s="14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7"/>
      <c r="BZ6" s="17"/>
    </row>
    <row r="7" spans="1:94" ht="8" customHeight="1">
      <c r="C7" s="120"/>
      <c r="D7" s="120"/>
      <c r="E7" s="120"/>
      <c r="F7" s="11"/>
      <c r="G7" s="12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4"/>
      <c r="AN7" s="15"/>
      <c r="AO7" s="89"/>
      <c r="AP7" s="90"/>
      <c r="AQ7" s="91"/>
      <c r="AR7" s="92"/>
      <c r="AS7" s="89"/>
      <c r="AT7" s="90"/>
      <c r="AU7" s="91"/>
      <c r="AV7" s="92"/>
      <c r="AW7" s="89"/>
      <c r="AX7" s="90"/>
      <c r="AY7" s="16"/>
      <c r="AZ7" s="14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7"/>
      <c r="BZ7" s="17"/>
    </row>
    <row r="8" spans="1:94" ht="8" customHeight="1"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4"/>
      <c r="AM8" s="15"/>
      <c r="AN8" s="16"/>
      <c r="AO8" s="90"/>
      <c r="AP8" s="90"/>
      <c r="AQ8" s="92"/>
      <c r="AR8" s="92"/>
      <c r="AS8" s="90"/>
      <c r="AT8" s="90"/>
      <c r="AU8" s="92"/>
      <c r="AV8" s="92"/>
      <c r="AW8" s="90"/>
      <c r="AX8" s="90"/>
      <c r="AY8" s="15"/>
      <c r="AZ8" s="16"/>
      <c r="BA8" s="14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7"/>
      <c r="BZ8" s="17"/>
      <c r="CA8" s="117" t="s">
        <v>3</v>
      </c>
      <c r="CB8" s="94"/>
      <c r="CC8" s="94"/>
      <c r="CD8" s="118"/>
    </row>
    <row r="9" spans="1:94" ht="8" customHeight="1"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5"/>
      <c r="AM9" s="89"/>
      <c r="AN9" s="90"/>
      <c r="AO9" s="91"/>
      <c r="AP9" s="92"/>
      <c r="AQ9" s="89"/>
      <c r="AR9" s="90"/>
      <c r="AS9" s="91"/>
      <c r="AT9" s="92"/>
      <c r="AU9" s="89"/>
      <c r="AV9" s="90"/>
      <c r="AW9" s="91"/>
      <c r="AX9" s="92"/>
      <c r="AY9" s="89"/>
      <c r="AZ9" s="90"/>
      <c r="BA9" s="16"/>
      <c r="BB9" s="14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7"/>
      <c r="BZ9" s="17"/>
      <c r="CA9" s="94"/>
      <c r="CB9" s="94"/>
      <c r="CC9" s="94"/>
      <c r="CD9" s="1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</row>
    <row r="10" spans="1:94" ht="8" customHeight="1"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4"/>
      <c r="AK10" s="15"/>
      <c r="AL10" s="16"/>
      <c r="AM10" s="90"/>
      <c r="AN10" s="90"/>
      <c r="AO10" s="92"/>
      <c r="AP10" s="92"/>
      <c r="AQ10" s="90"/>
      <c r="AR10" s="90"/>
      <c r="AS10" s="92"/>
      <c r="AT10" s="92"/>
      <c r="AU10" s="90"/>
      <c r="AV10" s="90"/>
      <c r="AW10" s="92"/>
      <c r="AX10" s="92"/>
      <c r="AY10" s="90"/>
      <c r="AZ10" s="90"/>
      <c r="BA10" s="15"/>
      <c r="BB10" s="16"/>
      <c r="BC10" s="14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7"/>
      <c r="BZ10" s="17"/>
      <c r="CA10" s="18"/>
      <c r="CB10" s="18"/>
      <c r="CC10" s="100" t="s">
        <v>4</v>
      </c>
      <c r="CD10" s="101"/>
      <c r="CE10" s="101"/>
      <c r="CF10" s="101"/>
      <c r="CG10" s="101"/>
      <c r="CH10" s="101"/>
      <c r="CI10" s="101"/>
      <c r="CJ10" s="101"/>
      <c r="CK10" s="101"/>
      <c r="CL10" s="101"/>
      <c r="CM10" s="102"/>
      <c r="CN10" s="102"/>
      <c r="CO10" s="103"/>
      <c r="CP10" s="115" t="s">
        <v>5</v>
      </c>
    </row>
    <row r="11" spans="1:94" ht="8" customHeight="1"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5"/>
      <c r="AK11" s="89"/>
      <c r="AL11" s="90"/>
      <c r="AM11" s="91"/>
      <c r="AN11" s="92"/>
      <c r="AO11" s="89"/>
      <c r="AP11" s="90"/>
      <c r="AQ11" s="91"/>
      <c r="AR11" s="92"/>
      <c r="AS11" s="89"/>
      <c r="AT11" s="90"/>
      <c r="AU11" s="91"/>
      <c r="AV11" s="92"/>
      <c r="AW11" s="89"/>
      <c r="AX11" s="90"/>
      <c r="AY11" s="91"/>
      <c r="AZ11" s="92"/>
      <c r="BA11" s="89"/>
      <c r="BB11" s="90"/>
      <c r="BC11" s="16"/>
      <c r="BD11" s="14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7"/>
      <c r="BZ11" s="17"/>
      <c r="CA11" s="18"/>
      <c r="CB11" s="18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2"/>
      <c r="CN11" s="102"/>
      <c r="CO11" s="103"/>
      <c r="CP11" s="116"/>
    </row>
    <row r="12" spans="1:94" ht="8" customHeight="1"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15"/>
      <c r="AJ12" s="16"/>
      <c r="AK12" s="90"/>
      <c r="AL12" s="90"/>
      <c r="AM12" s="92"/>
      <c r="AN12" s="92"/>
      <c r="AO12" s="90"/>
      <c r="AP12" s="90"/>
      <c r="AQ12" s="92"/>
      <c r="AR12" s="92"/>
      <c r="AS12" s="90"/>
      <c r="AT12" s="90"/>
      <c r="AU12" s="92"/>
      <c r="AV12" s="92"/>
      <c r="AW12" s="90"/>
      <c r="AX12" s="90"/>
      <c r="AY12" s="92"/>
      <c r="AZ12" s="92"/>
      <c r="BA12" s="90"/>
      <c r="BB12" s="90"/>
      <c r="BC12" s="15"/>
      <c r="BD12" s="16"/>
      <c r="BE12" s="14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7"/>
      <c r="BZ12" s="17"/>
      <c r="CA12" s="18"/>
      <c r="CB12" s="18"/>
      <c r="CC12" s="100" t="s">
        <v>6</v>
      </c>
      <c r="CD12" s="101"/>
      <c r="CE12" s="101"/>
      <c r="CF12" s="101"/>
      <c r="CG12" s="101"/>
      <c r="CH12" s="101"/>
      <c r="CI12" s="101"/>
      <c r="CJ12" s="101"/>
      <c r="CK12" s="101"/>
      <c r="CL12" s="101"/>
      <c r="CM12" s="102"/>
      <c r="CN12" s="102"/>
      <c r="CO12" s="103"/>
      <c r="CP12" s="113" t="s">
        <v>7</v>
      </c>
    </row>
    <row r="13" spans="1:94" ht="8" customHeight="1"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4"/>
      <c r="AH13" s="15"/>
      <c r="AI13" s="89"/>
      <c r="AJ13" s="90"/>
      <c r="AK13" s="91"/>
      <c r="AL13" s="92"/>
      <c r="AM13" s="89"/>
      <c r="AN13" s="90"/>
      <c r="AO13" s="91"/>
      <c r="AP13" s="92"/>
      <c r="AQ13" s="89"/>
      <c r="AR13" s="90"/>
      <c r="AS13" s="91"/>
      <c r="AT13" s="92"/>
      <c r="AU13" s="89"/>
      <c r="AV13" s="90"/>
      <c r="AW13" s="91"/>
      <c r="AX13" s="92"/>
      <c r="AY13" s="89"/>
      <c r="AZ13" s="90"/>
      <c r="BA13" s="91"/>
      <c r="BB13" s="92"/>
      <c r="BC13" s="89"/>
      <c r="BD13" s="90"/>
      <c r="BE13" s="16"/>
      <c r="BF13" s="14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7"/>
      <c r="BZ13" s="17"/>
      <c r="CA13" s="18"/>
      <c r="CB13" s="18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2"/>
      <c r="CN13" s="102"/>
      <c r="CO13" s="103"/>
      <c r="CP13" s="114"/>
    </row>
    <row r="14" spans="1:94" ht="8" customHeight="1"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  <c r="AH14" s="16"/>
      <c r="AI14" s="90"/>
      <c r="AJ14" s="90"/>
      <c r="AK14" s="92"/>
      <c r="AL14" s="92"/>
      <c r="AM14" s="90"/>
      <c r="AN14" s="90"/>
      <c r="AO14" s="92"/>
      <c r="AP14" s="92"/>
      <c r="AQ14" s="90"/>
      <c r="AR14" s="90"/>
      <c r="AS14" s="92"/>
      <c r="AT14" s="92"/>
      <c r="AU14" s="90"/>
      <c r="AV14" s="90"/>
      <c r="AW14" s="92"/>
      <c r="AX14" s="92"/>
      <c r="AY14" s="90"/>
      <c r="AZ14" s="90"/>
      <c r="BA14" s="92"/>
      <c r="BB14" s="92"/>
      <c r="BC14" s="90"/>
      <c r="BD14" s="90"/>
      <c r="BE14" s="15"/>
      <c r="BF14" s="16"/>
      <c r="BG14" s="14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7"/>
      <c r="BZ14" s="17"/>
      <c r="CA14" s="18"/>
      <c r="CB14" s="18"/>
      <c r="CC14" s="100" t="s">
        <v>8</v>
      </c>
      <c r="CD14" s="101"/>
      <c r="CE14" s="101"/>
      <c r="CF14" s="101"/>
      <c r="CG14" s="101"/>
      <c r="CH14" s="101"/>
      <c r="CI14" s="101"/>
      <c r="CJ14" s="101"/>
      <c r="CK14" s="101"/>
      <c r="CL14" s="101"/>
      <c r="CM14" s="102"/>
      <c r="CN14" s="102"/>
      <c r="CO14" s="103"/>
      <c r="CP14" s="111" t="s">
        <v>9</v>
      </c>
    </row>
    <row r="15" spans="1:94" ht="8" customHeight="1"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4"/>
      <c r="AF15" s="15"/>
      <c r="AG15" s="89"/>
      <c r="AH15" s="90"/>
      <c r="AI15" s="91"/>
      <c r="AJ15" s="92"/>
      <c r="AK15" s="89"/>
      <c r="AL15" s="90"/>
      <c r="AM15" s="91"/>
      <c r="AN15" s="92"/>
      <c r="AO15" s="89"/>
      <c r="AP15" s="90"/>
      <c r="AQ15" s="91"/>
      <c r="AR15" s="92"/>
      <c r="AS15" s="89"/>
      <c r="AT15" s="90"/>
      <c r="AU15" s="91"/>
      <c r="AV15" s="92"/>
      <c r="AW15" s="89"/>
      <c r="AX15" s="90"/>
      <c r="AY15" s="91"/>
      <c r="AZ15" s="92"/>
      <c r="BA15" s="89"/>
      <c r="BB15" s="90"/>
      <c r="BC15" s="91"/>
      <c r="BD15" s="92"/>
      <c r="BE15" s="89"/>
      <c r="BF15" s="90"/>
      <c r="BG15" s="16"/>
      <c r="BH15" s="14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7"/>
      <c r="BZ15" s="17"/>
      <c r="CA15" s="18"/>
      <c r="CB15" s="18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2"/>
      <c r="CN15" s="102"/>
      <c r="CO15" s="103"/>
      <c r="CP15" s="112"/>
    </row>
    <row r="16" spans="1:94" ht="8" customHeight="1"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  <c r="AE16" s="15"/>
      <c r="AF16" s="16"/>
      <c r="AG16" s="90"/>
      <c r="AH16" s="90"/>
      <c r="AI16" s="92"/>
      <c r="AJ16" s="92"/>
      <c r="AK16" s="90"/>
      <c r="AL16" s="90"/>
      <c r="AM16" s="92"/>
      <c r="AN16" s="92"/>
      <c r="AO16" s="90"/>
      <c r="AP16" s="90"/>
      <c r="AQ16" s="92"/>
      <c r="AR16" s="92"/>
      <c r="AS16" s="90"/>
      <c r="AT16" s="90"/>
      <c r="AU16" s="92"/>
      <c r="AV16" s="92"/>
      <c r="AW16" s="90"/>
      <c r="AX16" s="90"/>
      <c r="AY16" s="92"/>
      <c r="AZ16" s="92"/>
      <c r="BA16" s="90"/>
      <c r="BB16" s="90"/>
      <c r="BC16" s="92"/>
      <c r="BD16" s="92"/>
      <c r="BE16" s="90"/>
      <c r="BF16" s="90"/>
      <c r="BG16" s="15"/>
      <c r="BH16" s="16"/>
      <c r="BI16" s="14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7"/>
      <c r="BZ16" s="17"/>
      <c r="CC16" s="100" t="s">
        <v>10</v>
      </c>
      <c r="CD16" s="101"/>
      <c r="CE16" s="101"/>
      <c r="CF16" s="101"/>
      <c r="CG16" s="101"/>
      <c r="CH16" s="101"/>
      <c r="CI16" s="101"/>
      <c r="CJ16" s="101"/>
      <c r="CK16" s="101"/>
      <c r="CL16" s="101"/>
      <c r="CM16" s="102"/>
      <c r="CN16" s="102"/>
      <c r="CO16" s="103"/>
      <c r="CP16" s="110"/>
    </row>
    <row r="17" spans="1:121" ht="8" customHeight="1"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5"/>
      <c r="AE17" s="89"/>
      <c r="AF17" s="90"/>
      <c r="AG17" s="91"/>
      <c r="AH17" s="92"/>
      <c r="AI17" s="89"/>
      <c r="AJ17" s="90"/>
      <c r="AK17" s="91"/>
      <c r="AL17" s="92"/>
      <c r="AM17" s="89"/>
      <c r="AN17" s="90"/>
      <c r="AO17" s="91"/>
      <c r="AP17" s="92"/>
      <c r="AQ17" s="89"/>
      <c r="AR17" s="90"/>
      <c r="AS17" s="91"/>
      <c r="AT17" s="92"/>
      <c r="AU17" s="89"/>
      <c r="AV17" s="90"/>
      <c r="AW17" s="91"/>
      <c r="AX17" s="92"/>
      <c r="AY17" s="89"/>
      <c r="AZ17" s="90"/>
      <c r="BA17" s="91"/>
      <c r="BB17" s="92"/>
      <c r="BC17" s="89"/>
      <c r="BD17" s="90"/>
      <c r="BE17" s="91"/>
      <c r="BF17" s="92"/>
      <c r="BG17" s="89"/>
      <c r="BH17" s="90"/>
      <c r="BI17" s="16"/>
      <c r="BJ17" s="14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7"/>
      <c r="BZ17" s="17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2"/>
      <c r="CN17" s="102"/>
      <c r="CO17" s="103"/>
      <c r="CP17" s="110"/>
    </row>
    <row r="18" spans="1:121" ht="8" customHeight="1"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5"/>
      <c r="AD18" s="16"/>
      <c r="AE18" s="90"/>
      <c r="AF18" s="90"/>
      <c r="AG18" s="92"/>
      <c r="AH18" s="92"/>
      <c r="AI18" s="90"/>
      <c r="AJ18" s="90"/>
      <c r="AK18" s="92"/>
      <c r="AL18" s="92"/>
      <c r="AM18" s="90"/>
      <c r="AN18" s="90"/>
      <c r="AO18" s="92"/>
      <c r="AP18" s="92"/>
      <c r="AQ18" s="90"/>
      <c r="AR18" s="90"/>
      <c r="AS18" s="92"/>
      <c r="AT18" s="92"/>
      <c r="AU18" s="90"/>
      <c r="AV18" s="90"/>
      <c r="AW18" s="92"/>
      <c r="AX18" s="92"/>
      <c r="AY18" s="90"/>
      <c r="AZ18" s="90"/>
      <c r="BA18" s="92"/>
      <c r="BB18" s="92"/>
      <c r="BC18" s="90"/>
      <c r="BD18" s="90"/>
      <c r="BE18" s="92"/>
      <c r="BF18" s="92"/>
      <c r="BG18" s="90"/>
      <c r="BH18" s="90"/>
      <c r="BI18" s="15"/>
      <c r="BJ18" s="16"/>
      <c r="BK18" s="14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7"/>
      <c r="BZ18" s="17"/>
      <c r="CC18" s="100" t="s">
        <v>15</v>
      </c>
      <c r="CD18" s="101"/>
      <c r="CE18" s="101"/>
      <c r="CF18" s="101"/>
      <c r="CG18" s="101"/>
      <c r="CH18" s="101"/>
      <c r="CI18" s="101"/>
      <c r="CJ18" s="101"/>
      <c r="CK18" s="101"/>
      <c r="CL18" s="101"/>
      <c r="CM18" s="102"/>
      <c r="CN18" s="102"/>
      <c r="CO18" s="103"/>
      <c r="CP18" s="108" t="s">
        <v>12</v>
      </c>
    </row>
    <row r="19" spans="1:121" ht="8" customHeight="1"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5"/>
      <c r="AC19" s="89"/>
      <c r="AD19" s="90"/>
      <c r="AE19" s="91"/>
      <c r="AF19" s="92"/>
      <c r="AG19" s="89"/>
      <c r="AH19" s="90"/>
      <c r="AI19" s="91"/>
      <c r="AJ19" s="92"/>
      <c r="AK19" s="89"/>
      <c r="AL19" s="90"/>
      <c r="AM19" s="91"/>
      <c r="AN19" s="92"/>
      <c r="AO19" s="89"/>
      <c r="AP19" s="90"/>
      <c r="AQ19" s="91"/>
      <c r="AR19" s="92"/>
      <c r="AS19" s="89"/>
      <c r="AT19" s="90"/>
      <c r="AU19" s="91"/>
      <c r="AV19" s="92"/>
      <c r="AW19" s="89"/>
      <c r="AX19" s="90"/>
      <c r="AY19" s="91"/>
      <c r="AZ19" s="92"/>
      <c r="BA19" s="89"/>
      <c r="BB19" s="90"/>
      <c r="BC19" s="91"/>
      <c r="BD19" s="92"/>
      <c r="BE19" s="89"/>
      <c r="BF19" s="90"/>
      <c r="BG19" s="91"/>
      <c r="BH19" s="92"/>
      <c r="BI19" s="89"/>
      <c r="BJ19" s="90"/>
      <c r="BK19" s="16"/>
      <c r="BL19" s="14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7"/>
      <c r="BZ19" s="17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2"/>
      <c r="CN19" s="102"/>
      <c r="CO19" s="103"/>
      <c r="CP19" s="109"/>
    </row>
    <row r="20" spans="1:121" ht="8" customHeight="1"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  <c r="AA20" s="15"/>
      <c r="AB20" s="16"/>
      <c r="AC20" s="90"/>
      <c r="AD20" s="90"/>
      <c r="AE20" s="92"/>
      <c r="AF20" s="92"/>
      <c r="AG20" s="90"/>
      <c r="AH20" s="90"/>
      <c r="AI20" s="92"/>
      <c r="AJ20" s="92"/>
      <c r="AK20" s="90"/>
      <c r="AL20" s="90"/>
      <c r="AM20" s="92"/>
      <c r="AN20" s="92"/>
      <c r="AO20" s="90"/>
      <c r="AP20" s="90"/>
      <c r="AQ20" s="92"/>
      <c r="AR20" s="92"/>
      <c r="AS20" s="90"/>
      <c r="AT20" s="90"/>
      <c r="AU20" s="92"/>
      <c r="AV20" s="92"/>
      <c r="AW20" s="90"/>
      <c r="AX20" s="90"/>
      <c r="AY20" s="92"/>
      <c r="AZ20" s="92"/>
      <c r="BA20" s="90"/>
      <c r="BB20" s="90"/>
      <c r="BC20" s="92"/>
      <c r="BD20" s="92"/>
      <c r="BE20" s="90"/>
      <c r="BF20" s="90"/>
      <c r="BG20" s="92"/>
      <c r="BH20" s="92"/>
      <c r="BI20" s="90"/>
      <c r="BJ20" s="90"/>
      <c r="BK20" s="15"/>
      <c r="BL20" s="16"/>
      <c r="BM20" s="14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7"/>
      <c r="BZ20" s="17"/>
      <c r="CC20" s="100" t="s">
        <v>13</v>
      </c>
      <c r="CD20" s="101"/>
      <c r="CE20" s="101"/>
      <c r="CF20" s="101"/>
      <c r="CG20" s="101"/>
      <c r="CH20" s="101"/>
      <c r="CI20" s="101"/>
      <c r="CJ20" s="101"/>
      <c r="CK20" s="101"/>
      <c r="CL20" s="101"/>
      <c r="CM20" s="102"/>
      <c r="CN20" s="102"/>
      <c r="CO20" s="103"/>
      <c r="CP20" s="104" t="s">
        <v>14</v>
      </c>
    </row>
    <row r="21" spans="1:121" s="22" customFormat="1" ht="8" customHeight="1">
      <c r="A21" s="19"/>
      <c r="B21" s="19"/>
      <c r="C21" s="19"/>
      <c r="D21" s="19"/>
      <c r="E21" s="19"/>
      <c r="F21" s="19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4"/>
      <c r="Z21" s="15"/>
      <c r="AA21" s="89"/>
      <c r="AB21" s="90"/>
      <c r="AC21" s="91"/>
      <c r="AD21" s="92"/>
      <c r="AE21" s="89"/>
      <c r="AF21" s="90"/>
      <c r="AG21" s="91"/>
      <c r="AH21" s="92"/>
      <c r="AI21" s="89"/>
      <c r="AJ21" s="90"/>
      <c r="AK21" s="91"/>
      <c r="AL21" s="92"/>
      <c r="AM21" s="89"/>
      <c r="AN21" s="90"/>
      <c r="AO21" s="91"/>
      <c r="AP21" s="92"/>
      <c r="AQ21" s="89"/>
      <c r="AR21" s="90"/>
      <c r="AS21" s="91"/>
      <c r="AT21" s="92"/>
      <c r="AU21" s="89"/>
      <c r="AV21" s="90"/>
      <c r="AW21" s="91"/>
      <c r="AX21" s="92"/>
      <c r="AY21" s="89"/>
      <c r="AZ21" s="90"/>
      <c r="BA21" s="91"/>
      <c r="BB21" s="92"/>
      <c r="BC21" s="89"/>
      <c r="BD21" s="90"/>
      <c r="BE21" s="91"/>
      <c r="BF21" s="92"/>
      <c r="BG21" s="89"/>
      <c r="BH21" s="90"/>
      <c r="BI21" s="91"/>
      <c r="BJ21" s="92"/>
      <c r="BK21" s="89"/>
      <c r="BL21" s="90"/>
      <c r="BM21" s="16"/>
      <c r="BN21" s="14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1"/>
      <c r="BZ21" s="21"/>
      <c r="CA21" s="19"/>
      <c r="CB21" s="19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2"/>
      <c r="CN21" s="102"/>
      <c r="CO21" s="103"/>
      <c r="CP21" s="105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</row>
    <row r="22" spans="1:121" s="22" customFormat="1" ht="8" customHeight="1">
      <c r="A22" s="19"/>
      <c r="E22" s="2"/>
      <c r="F22" s="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14"/>
      <c r="Y22" s="15"/>
      <c r="Z22" s="16"/>
      <c r="AA22" s="90"/>
      <c r="AB22" s="90"/>
      <c r="AC22" s="92"/>
      <c r="AD22" s="92"/>
      <c r="AE22" s="90"/>
      <c r="AF22" s="90"/>
      <c r="AG22" s="92"/>
      <c r="AH22" s="92"/>
      <c r="AI22" s="90"/>
      <c r="AJ22" s="90"/>
      <c r="AK22" s="92"/>
      <c r="AL22" s="92"/>
      <c r="AM22" s="90"/>
      <c r="AN22" s="90"/>
      <c r="AO22" s="92"/>
      <c r="AP22" s="92"/>
      <c r="AQ22" s="90"/>
      <c r="AR22" s="90"/>
      <c r="AS22" s="92"/>
      <c r="AT22" s="92"/>
      <c r="AU22" s="90"/>
      <c r="AV22" s="90"/>
      <c r="AW22" s="92"/>
      <c r="AX22" s="92"/>
      <c r="AY22" s="90"/>
      <c r="AZ22" s="90"/>
      <c r="BA22" s="92"/>
      <c r="BB22" s="92"/>
      <c r="BC22" s="90"/>
      <c r="BD22" s="90"/>
      <c r="BE22" s="92"/>
      <c r="BF22" s="92"/>
      <c r="BG22" s="90"/>
      <c r="BH22" s="90"/>
      <c r="BI22" s="92"/>
      <c r="BJ22" s="92"/>
      <c r="BK22" s="90"/>
      <c r="BL22" s="90"/>
      <c r="BM22" s="15"/>
      <c r="BN22" s="16"/>
      <c r="BO22" s="14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"/>
      <c r="CB22" s="2"/>
      <c r="CC22" s="100" t="s">
        <v>11</v>
      </c>
      <c r="CD22" s="101"/>
      <c r="CE22" s="101"/>
      <c r="CF22" s="101"/>
      <c r="CG22" s="101"/>
      <c r="CH22" s="101"/>
      <c r="CI22" s="101"/>
      <c r="CJ22" s="101"/>
      <c r="CK22" s="101"/>
      <c r="CL22" s="101"/>
      <c r="CM22" s="102"/>
      <c r="CN22" s="102"/>
      <c r="CO22" s="103"/>
      <c r="CP22" s="106" t="s">
        <v>16</v>
      </c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</row>
    <row r="23" spans="1:121" s="22" customFormat="1" ht="8" customHeight="1">
      <c r="A23" s="19"/>
      <c r="E23" s="2"/>
      <c r="F23" s="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14"/>
      <c r="X23" s="15"/>
      <c r="Y23" s="89"/>
      <c r="Z23" s="90"/>
      <c r="AA23" s="91"/>
      <c r="AB23" s="92"/>
      <c r="AC23" s="89"/>
      <c r="AD23" s="90"/>
      <c r="AE23" s="91"/>
      <c r="AF23" s="92"/>
      <c r="AG23" s="89"/>
      <c r="AH23" s="90"/>
      <c r="AI23" s="91"/>
      <c r="AJ23" s="92"/>
      <c r="AK23" s="89"/>
      <c r="AL23" s="90"/>
      <c r="AM23" s="91"/>
      <c r="AN23" s="92"/>
      <c r="AO23" s="89"/>
      <c r="AP23" s="90"/>
      <c r="AQ23" s="91"/>
      <c r="AR23" s="92"/>
      <c r="AS23" s="89"/>
      <c r="AT23" s="90"/>
      <c r="AU23" s="91"/>
      <c r="AV23" s="92"/>
      <c r="AW23" s="89"/>
      <c r="AX23" s="90"/>
      <c r="AY23" s="91"/>
      <c r="AZ23" s="92"/>
      <c r="BA23" s="89"/>
      <c r="BB23" s="90"/>
      <c r="BC23" s="91"/>
      <c r="BD23" s="92"/>
      <c r="BE23" s="89"/>
      <c r="BF23" s="90"/>
      <c r="BG23" s="91"/>
      <c r="BH23" s="92"/>
      <c r="BI23" s="89"/>
      <c r="BJ23" s="90"/>
      <c r="BK23" s="91"/>
      <c r="BL23" s="92"/>
      <c r="BM23" s="89"/>
      <c r="BN23" s="90"/>
      <c r="BO23" s="16"/>
      <c r="BP23" s="14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"/>
      <c r="CB23" s="2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2"/>
      <c r="CN23" s="102"/>
      <c r="CO23" s="103"/>
      <c r="CP23" s="107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</row>
    <row r="24" spans="1:121" s="22" customFormat="1" ht="8" customHeight="1">
      <c r="A24" s="19"/>
      <c r="B24" s="3"/>
      <c r="C24" s="3"/>
      <c r="D24" s="3"/>
      <c r="E24" s="3"/>
      <c r="F24" s="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/>
      <c r="X24" s="16"/>
      <c r="Y24" s="90"/>
      <c r="Z24" s="90"/>
      <c r="AA24" s="92"/>
      <c r="AB24" s="92"/>
      <c r="AC24" s="90"/>
      <c r="AD24" s="90"/>
      <c r="AE24" s="92"/>
      <c r="AF24" s="92"/>
      <c r="AG24" s="90"/>
      <c r="AH24" s="90"/>
      <c r="AI24" s="92"/>
      <c r="AJ24" s="92"/>
      <c r="AK24" s="90"/>
      <c r="AL24" s="90"/>
      <c r="AM24" s="92"/>
      <c r="AN24" s="92"/>
      <c r="AO24" s="90"/>
      <c r="AP24" s="90"/>
      <c r="AQ24" s="92"/>
      <c r="AR24" s="92"/>
      <c r="AS24" s="90"/>
      <c r="AT24" s="90"/>
      <c r="AU24" s="92"/>
      <c r="AV24" s="92"/>
      <c r="AW24" s="90"/>
      <c r="AX24" s="90"/>
      <c r="AY24" s="92"/>
      <c r="AZ24" s="92"/>
      <c r="BA24" s="90"/>
      <c r="BB24" s="90"/>
      <c r="BC24" s="92"/>
      <c r="BD24" s="92"/>
      <c r="BE24" s="90"/>
      <c r="BF24" s="90"/>
      <c r="BG24" s="92"/>
      <c r="BH24" s="92"/>
      <c r="BI24" s="90"/>
      <c r="BJ24" s="90"/>
      <c r="BK24" s="92"/>
      <c r="BL24" s="92"/>
      <c r="BM24" s="90"/>
      <c r="BN24" s="90"/>
      <c r="BO24" s="15"/>
      <c r="BP24" s="16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3"/>
      <c r="CB24" s="3"/>
      <c r="CC24" s="3"/>
      <c r="CD24" s="3"/>
      <c r="CE24" s="3"/>
      <c r="CF24" s="3"/>
      <c r="CG24" s="3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</row>
    <row r="25" spans="1:121" s="22" customFormat="1" ht="8" customHeight="1">
      <c r="A25" s="19"/>
      <c r="B25" s="3"/>
      <c r="C25" s="3"/>
      <c r="D25" s="3"/>
      <c r="E25" s="3"/>
      <c r="F25" s="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89"/>
      <c r="X25" s="90"/>
      <c r="Y25" s="91"/>
      <c r="Z25" s="92"/>
      <c r="AA25" s="89"/>
      <c r="AB25" s="90"/>
      <c r="AC25" s="91"/>
      <c r="AD25" s="92"/>
      <c r="AE25" s="89"/>
      <c r="AF25" s="90"/>
      <c r="AG25" s="91"/>
      <c r="AH25" s="92"/>
      <c r="AI25" s="89"/>
      <c r="AJ25" s="90"/>
      <c r="AK25" s="91"/>
      <c r="AL25" s="92"/>
      <c r="AM25" s="89"/>
      <c r="AN25" s="90"/>
      <c r="AO25" s="91"/>
      <c r="AP25" s="92"/>
      <c r="AQ25" s="89"/>
      <c r="AR25" s="90"/>
      <c r="AS25" s="91"/>
      <c r="AT25" s="92"/>
      <c r="AU25" s="89"/>
      <c r="AV25" s="90"/>
      <c r="AW25" s="91"/>
      <c r="AX25" s="92"/>
      <c r="AY25" s="89"/>
      <c r="AZ25" s="90"/>
      <c r="BA25" s="91"/>
      <c r="BB25" s="92"/>
      <c r="BC25" s="89"/>
      <c r="BD25" s="90"/>
      <c r="BE25" s="91"/>
      <c r="BF25" s="92"/>
      <c r="BG25" s="89"/>
      <c r="BH25" s="90"/>
      <c r="BI25" s="91"/>
      <c r="BJ25" s="92"/>
      <c r="BK25" s="89"/>
      <c r="BL25" s="90"/>
      <c r="BM25" s="91"/>
      <c r="BN25" s="92"/>
      <c r="BO25" s="89"/>
      <c r="BP25" s="90"/>
      <c r="BQ25" s="16"/>
      <c r="BR25" s="14"/>
      <c r="BS25" s="14"/>
      <c r="BT25" s="14"/>
      <c r="BU25" s="14"/>
      <c r="BV25" s="14"/>
      <c r="BW25" s="14"/>
      <c r="BX25" s="14"/>
      <c r="BY25" s="14"/>
      <c r="BZ25" s="14"/>
      <c r="CA25" s="3"/>
      <c r="CB25" s="3"/>
      <c r="CC25" s="3"/>
      <c r="CD25" s="3"/>
      <c r="CE25" s="3"/>
      <c r="CF25" s="3"/>
      <c r="CG25" s="3"/>
      <c r="CH25" s="19"/>
      <c r="CI25" s="19"/>
      <c r="CJ25" s="19"/>
      <c r="CK25" s="19"/>
      <c r="CL25" s="19"/>
      <c r="CM25" s="24"/>
      <c r="CN25" s="24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</row>
    <row r="26" spans="1:121" s="22" customFormat="1" ht="8" customHeight="1">
      <c r="A26" s="19"/>
      <c r="B26" s="3"/>
      <c r="C26" s="3"/>
      <c r="D26" s="3"/>
      <c r="E26" s="3"/>
      <c r="F26" s="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16"/>
      <c r="W26" s="90"/>
      <c r="X26" s="90"/>
      <c r="Y26" s="92"/>
      <c r="Z26" s="92"/>
      <c r="AA26" s="90"/>
      <c r="AB26" s="90"/>
      <c r="AC26" s="92"/>
      <c r="AD26" s="92"/>
      <c r="AE26" s="90"/>
      <c r="AF26" s="90"/>
      <c r="AG26" s="92"/>
      <c r="AH26" s="92"/>
      <c r="AI26" s="90"/>
      <c r="AJ26" s="90"/>
      <c r="AK26" s="92"/>
      <c r="AL26" s="92"/>
      <c r="AM26" s="90"/>
      <c r="AN26" s="90"/>
      <c r="AO26" s="92"/>
      <c r="AP26" s="92"/>
      <c r="AQ26" s="90"/>
      <c r="AR26" s="90"/>
      <c r="AS26" s="92"/>
      <c r="AT26" s="92"/>
      <c r="AU26" s="90"/>
      <c r="AV26" s="90"/>
      <c r="AW26" s="92"/>
      <c r="AX26" s="92"/>
      <c r="AY26" s="90"/>
      <c r="AZ26" s="90"/>
      <c r="BA26" s="92"/>
      <c r="BB26" s="92"/>
      <c r="BC26" s="90"/>
      <c r="BD26" s="90"/>
      <c r="BE26" s="92"/>
      <c r="BF26" s="92"/>
      <c r="BG26" s="90"/>
      <c r="BH26" s="90"/>
      <c r="BI26" s="92"/>
      <c r="BJ26" s="92"/>
      <c r="BK26" s="90"/>
      <c r="BL26" s="90"/>
      <c r="BM26" s="92"/>
      <c r="BN26" s="92"/>
      <c r="BO26" s="90"/>
      <c r="BP26" s="90"/>
      <c r="BQ26" s="15"/>
      <c r="BR26" s="16"/>
      <c r="BS26" s="14"/>
      <c r="BT26" s="14"/>
      <c r="BU26" s="14"/>
      <c r="BV26" s="14"/>
      <c r="BW26" s="14"/>
      <c r="BX26" s="14"/>
      <c r="BY26" s="14"/>
      <c r="BZ26" s="14"/>
      <c r="CA26" s="3"/>
      <c r="CB26" s="3"/>
      <c r="CC26" s="3"/>
      <c r="CD26" s="3"/>
      <c r="CE26" s="3"/>
      <c r="CF26" s="3"/>
      <c r="CG26" s="3"/>
      <c r="CH26" s="19"/>
      <c r="CI26" s="19"/>
      <c r="CJ26" s="19"/>
      <c r="CK26" s="19"/>
      <c r="CL26" s="19"/>
      <c r="CM26" s="96"/>
      <c r="CN26" s="97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</row>
    <row r="27" spans="1:121" s="22" customFormat="1" ht="8" customHeight="1">
      <c r="A27" s="19"/>
      <c r="B27" s="3"/>
      <c r="C27" s="98" t="s">
        <v>17</v>
      </c>
      <c r="D27" s="99"/>
      <c r="E27" s="3"/>
      <c r="F27" s="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89"/>
      <c r="V27" s="90"/>
      <c r="W27" s="91"/>
      <c r="X27" s="92"/>
      <c r="Y27" s="89"/>
      <c r="Z27" s="90"/>
      <c r="AA27" s="91"/>
      <c r="AB27" s="92"/>
      <c r="AC27" s="89"/>
      <c r="AD27" s="90"/>
      <c r="AE27" s="91"/>
      <c r="AF27" s="92"/>
      <c r="AG27" s="89"/>
      <c r="AH27" s="90"/>
      <c r="AI27" s="91"/>
      <c r="AJ27" s="92"/>
      <c r="AK27" s="89"/>
      <c r="AL27" s="90"/>
      <c r="AM27" s="91"/>
      <c r="AN27" s="92"/>
      <c r="AO27" s="89"/>
      <c r="AP27" s="90"/>
      <c r="AQ27" s="91"/>
      <c r="AR27" s="92"/>
      <c r="AS27" s="89"/>
      <c r="AT27" s="90"/>
      <c r="AU27" s="91"/>
      <c r="AV27" s="92"/>
      <c r="AW27" s="89"/>
      <c r="AX27" s="90"/>
      <c r="AY27" s="91"/>
      <c r="AZ27" s="92"/>
      <c r="BA27" s="89"/>
      <c r="BB27" s="90"/>
      <c r="BC27" s="91"/>
      <c r="BD27" s="92"/>
      <c r="BE27" s="89"/>
      <c r="BF27" s="90"/>
      <c r="BG27" s="91"/>
      <c r="BH27" s="92"/>
      <c r="BI27" s="89"/>
      <c r="BJ27" s="90"/>
      <c r="BK27" s="91"/>
      <c r="BL27" s="92"/>
      <c r="BM27" s="89"/>
      <c r="BN27" s="90"/>
      <c r="BO27" s="91"/>
      <c r="BP27" s="92"/>
      <c r="BQ27" s="89"/>
      <c r="BR27" s="90"/>
      <c r="BS27" s="16"/>
      <c r="BT27" s="14"/>
      <c r="BU27" s="14"/>
      <c r="BV27" s="14"/>
      <c r="BW27" s="14"/>
      <c r="BX27" s="14"/>
      <c r="BY27" s="14"/>
      <c r="BZ27" s="14"/>
      <c r="CA27" s="3"/>
      <c r="CB27" s="3"/>
      <c r="CC27" s="3"/>
      <c r="CD27" s="3"/>
      <c r="CE27" s="3"/>
      <c r="CF27" s="3"/>
      <c r="CG27" s="3"/>
      <c r="CH27" s="19"/>
      <c r="CI27" s="19"/>
      <c r="CJ27" s="19"/>
      <c r="CK27" s="19"/>
      <c r="CL27" s="19"/>
      <c r="CM27" s="96"/>
      <c r="CN27" s="97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</row>
    <row r="28" spans="1:121" s="22" customFormat="1" ht="8" customHeight="1">
      <c r="A28" s="19"/>
      <c r="B28" s="3"/>
      <c r="C28" s="99"/>
      <c r="D28" s="99"/>
      <c r="E28" s="3"/>
      <c r="F28" s="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  <c r="T28" s="16"/>
      <c r="U28" s="90"/>
      <c r="V28" s="90"/>
      <c r="W28" s="92"/>
      <c r="X28" s="92"/>
      <c r="Y28" s="90"/>
      <c r="Z28" s="90"/>
      <c r="AA28" s="92"/>
      <c r="AB28" s="92"/>
      <c r="AC28" s="90"/>
      <c r="AD28" s="90"/>
      <c r="AE28" s="92"/>
      <c r="AF28" s="92"/>
      <c r="AG28" s="90"/>
      <c r="AH28" s="90"/>
      <c r="AI28" s="92"/>
      <c r="AJ28" s="92"/>
      <c r="AK28" s="90"/>
      <c r="AL28" s="90"/>
      <c r="AM28" s="92"/>
      <c r="AN28" s="92"/>
      <c r="AO28" s="90"/>
      <c r="AP28" s="90"/>
      <c r="AQ28" s="92"/>
      <c r="AR28" s="92"/>
      <c r="AS28" s="90"/>
      <c r="AT28" s="90"/>
      <c r="AU28" s="92"/>
      <c r="AV28" s="92"/>
      <c r="AW28" s="90"/>
      <c r="AX28" s="90"/>
      <c r="AY28" s="92"/>
      <c r="AZ28" s="92"/>
      <c r="BA28" s="90"/>
      <c r="BB28" s="90"/>
      <c r="BC28" s="92"/>
      <c r="BD28" s="92"/>
      <c r="BE28" s="90"/>
      <c r="BF28" s="90"/>
      <c r="BG28" s="92"/>
      <c r="BH28" s="92"/>
      <c r="BI28" s="90"/>
      <c r="BJ28" s="90"/>
      <c r="BK28" s="92"/>
      <c r="BL28" s="92"/>
      <c r="BM28" s="90"/>
      <c r="BN28" s="90"/>
      <c r="BO28" s="92"/>
      <c r="BP28" s="92"/>
      <c r="BQ28" s="90"/>
      <c r="BR28" s="90"/>
      <c r="BS28" s="15"/>
      <c r="BT28" s="16"/>
      <c r="BU28" s="14"/>
      <c r="BV28" s="14"/>
      <c r="BW28" s="14"/>
      <c r="BX28" s="14"/>
      <c r="BY28" s="14"/>
      <c r="BZ28" s="14"/>
      <c r="CA28" s="3"/>
      <c r="CB28" s="3"/>
      <c r="CC28" s="3"/>
      <c r="CD28" s="3"/>
      <c r="CE28" s="3"/>
      <c r="CF28" s="3"/>
      <c r="CG28" s="3"/>
      <c r="CH28" s="19"/>
      <c r="CI28" s="19"/>
      <c r="CJ28" s="19"/>
      <c r="CK28" s="19"/>
      <c r="CL28" s="19"/>
      <c r="CM28" s="96"/>
      <c r="CN28" s="97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</row>
    <row r="29" spans="1:121" s="22" customFormat="1" ht="8" customHeight="1">
      <c r="A29" s="19"/>
      <c r="B29" s="3"/>
      <c r="C29" s="99"/>
      <c r="D29" s="99"/>
      <c r="E29" s="25"/>
      <c r="F29" s="2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4"/>
      <c r="R29" s="15"/>
      <c r="S29" s="89"/>
      <c r="T29" s="90"/>
      <c r="U29" s="91"/>
      <c r="V29" s="92"/>
      <c r="W29" s="89"/>
      <c r="X29" s="90"/>
      <c r="Y29" s="91"/>
      <c r="Z29" s="92"/>
      <c r="AA29" s="89"/>
      <c r="AB29" s="90"/>
      <c r="AC29" s="91"/>
      <c r="AD29" s="92"/>
      <c r="AE29" s="89"/>
      <c r="AF29" s="90"/>
      <c r="AG29" s="91"/>
      <c r="AH29" s="92"/>
      <c r="AI29" s="89"/>
      <c r="AJ29" s="90"/>
      <c r="AK29" s="91"/>
      <c r="AL29" s="92"/>
      <c r="AM29" s="89"/>
      <c r="AN29" s="90"/>
      <c r="AO29" s="91"/>
      <c r="AP29" s="92"/>
      <c r="AQ29" s="89"/>
      <c r="AR29" s="90"/>
      <c r="AS29" s="91"/>
      <c r="AT29" s="92"/>
      <c r="AU29" s="89"/>
      <c r="AV29" s="90"/>
      <c r="AW29" s="91"/>
      <c r="AX29" s="92"/>
      <c r="AY29" s="89"/>
      <c r="AZ29" s="90"/>
      <c r="BA29" s="91"/>
      <c r="BB29" s="92"/>
      <c r="BC29" s="89"/>
      <c r="BD29" s="90"/>
      <c r="BE29" s="91"/>
      <c r="BF29" s="92"/>
      <c r="BG29" s="89"/>
      <c r="BH29" s="90"/>
      <c r="BI29" s="91"/>
      <c r="BJ29" s="92"/>
      <c r="BK29" s="89"/>
      <c r="BL29" s="90"/>
      <c r="BM29" s="91"/>
      <c r="BN29" s="92"/>
      <c r="BO29" s="89"/>
      <c r="BP29" s="90"/>
      <c r="BQ29" s="91"/>
      <c r="BR29" s="92"/>
      <c r="BS29" s="89"/>
      <c r="BT29" s="90"/>
      <c r="BU29" s="16"/>
      <c r="BV29" s="14"/>
      <c r="BW29" s="26"/>
      <c r="BX29" s="26"/>
      <c r="BY29" s="26"/>
      <c r="BZ29" s="26"/>
      <c r="CA29" s="25"/>
      <c r="CB29" s="25"/>
      <c r="CC29" s="25"/>
      <c r="CD29" s="25"/>
      <c r="CE29" s="25"/>
      <c r="CF29" s="25"/>
      <c r="CG29" s="25"/>
      <c r="CH29" s="19"/>
      <c r="CI29" s="19"/>
      <c r="CJ29" s="19"/>
      <c r="CK29" s="19"/>
      <c r="CL29" s="19"/>
      <c r="CM29" s="96"/>
      <c r="CN29" s="97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</row>
    <row r="30" spans="1:121" s="22" customFormat="1" ht="8" customHeight="1">
      <c r="A30" s="19"/>
      <c r="B30" s="3"/>
      <c r="C30" s="99"/>
      <c r="D30" s="99"/>
      <c r="E30" s="25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14"/>
      <c r="Q30" s="15"/>
      <c r="R30" s="16"/>
      <c r="S30" s="90"/>
      <c r="T30" s="90"/>
      <c r="U30" s="92"/>
      <c r="V30" s="92"/>
      <c r="W30" s="90"/>
      <c r="X30" s="90"/>
      <c r="Y30" s="92"/>
      <c r="Z30" s="92"/>
      <c r="AA30" s="90"/>
      <c r="AB30" s="90"/>
      <c r="AC30" s="92"/>
      <c r="AD30" s="92"/>
      <c r="AE30" s="90"/>
      <c r="AF30" s="90"/>
      <c r="AG30" s="92"/>
      <c r="AH30" s="92"/>
      <c r="AI30" s="90"/>
      <c r="AJ30" s="90"/>
      <c r="AK30" s="92"/>
      <c r="AL30" s="92"/>
      <c r="AM30" s="90"/>
      <c r="AN30" s="90"/>
      <c r="AO30" s="92"/>
      <c r="AP30" s="92"/>
      <c r="AQ30" s="90"/>
      <c r="AR30" s="90"/>
      <c r="AS30" s="92"/>
      <c r="AT30" s="92"/>
      <c r="AU30" s="90"/>
      <c r="AV30" s="90"/>
      <c r="AW30" s="92"/>
      <c r="AX30" s="92"/>
      <c r="AY30" s="90"/>
      <c r="AZ30" s="90"/>
      <c r="BA30" s="92"/>
      <c r="BB30" s="92"/>
      <c r="BC30" s="90"/>
      <c r="BD30" s="90"/>
      <c r="BE30" s="92"/>
      <c r="BF30" s="92"/>
      <c r="BG30" s="90"/>
      <c r="BH30" s="90"/>
      <c r="BI30" s="92"/>
      <c r="BJ30" s="92"/>
      <c r="BK30" s="90"/>
      <c r="BL30" s="90"/>
      <c r="BM30" s="92"/>
      <c r="BN30" s="92"/>
      <c r="BO30" s="90"/>
      <c r="BP30" s="90"/>
      <c r="BQ30" s="92"/>
      <c r="BR30" s="92"/>
      <c r="BS30" s="90"/>
      <c r="BT30" s="90"/>
      <c r="BU30" s="15"/>
      <c r="BV30" s="16"/>
      <c r="BW30" s="14"/>
      <c r="BX30" s="26"/>
      <c r="BY30" s="26"/>
      <c r="BZ30" s="26"/>
      <c r="CA30" s="25"/>
      <c r="CB30" s="25"/>
      <c r="CC30" s="25"/>
      <c r="CD30" s="25"/>
      <c r="CE30" s="25"/>
      <c r="CF30" s="25"/>
      <c r="CG30" s="25"/>
      <c r="CH30" s="19"/>
      <c r="CI30" s="19"/>
      <c r="CJ30" s="19"/>
      <c r="CK30" s="19"/>
      <c r="CL30" s="19"/>
      <c r="CM30" s="96"/>
      <c r="CN30" s="97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</row>
    <row r="31" spans="1:121" s="22" customFormat="1" ht="8" customHeight="1">
      <c r="A31" s="19"/>
      <c r="B31" s="3"/>
      <c r="C31" s="3"/>
      <c r="D31" s="3"/>
      <c r="E31" s="3"/>
      <c r="F31" s="3"/>
      <c r="G31" s="14"/>
      <c r="H31" s="14"/>
      <c r="I31" s="14"/>
      <c r="J31" s="14"/>
      <c r="K31" s="14"/>
      <c r="L31" s="14"/>
      <c r="M31" s="14"/>
      <c r="N31" s="14"/>
      <c r="O31" s="14"/>
      <c r="P31" s="15"/>
      <c r="Q31" s="89"/>
      <c r="R31" s="90"/>
      <c r="S31" s="91"/>
      <c r="T31" s="92"/>
      <c r="U31" s="89"/>
      <c r="V31" s="90"/>
      <c r="W31" s="91"/>
      <c r="X31" s="92"/>
      <c r="Y31" s="89"/>
      <c r="Z31" s="90"/>
      <c r="AA31" s="91"/>
      <c r="AB31" s="92"/>
      <c r="AC31" s="89"/>
      <c r="AD31" s="90"/>
      <c r="AE31" s="91"/>
      <c r="AF31" s="92"/>
      <c r="AG31" s="89"/>
      <c r="AH31" s="90"/>
      <c r="AI31" s="91"/>
      <c r="AJ31" s="92"/>
      <c r="AK31" s="89"/>
      <c r="AL31" s="90"/>
      <c r="AM31" s="91"/>
      <c r="AN31" s="92"/>
      <c r="AO31" s="89"/>
      <c r="AP31" s="90"/>
      <c r="AQ31" s="91"/>
      <c r="AR31" s="92"/>
      <c r="AS31" s="89"/>
      <c r="AT31" s="90"/>
      <c r="AU31" s="91"/>
      <c r="AV31" s="92"/>
      <c r="AW31" s="89"/>
      <c r="AX31" s="90"/>
      <c r="AY31" s="91"/>
      <c r="AZ31" s="92"/>
      <c r="BA31" s="89"/>
      <c r="BB31" s="90"/>
      <c r="BC31" s="91"/>
      <c r="BD31" s="92"/>
      <c r="BE31" s="89"/>
      <c r="BF31" s="90"/>
      <c r="BG31" s="91"/>
      <c r="BH31" s="92"/>
      <c r="BI31" s="89"/>
      <c r="BJ31" s="90"/>
      <c r="BK31" s="91"/>
      <c r="BL31" s="92"/>
      <c r="BM31" s="89"/>
      <c r="BN31" s="90"/>
      <c r="BO31" s="91"/>
      <c r="BP31" s="92"/>
      <c r="BQ31" s="89"/>
      <c r="BR31" s="90"/>
      <c r="BS31" s="91"/>
      <c r="BT31" s="92"/>
      <c r="BU31" s="89"/>
      <c r="BV31" s="90"/>
      <c r="BW31" s="16"/>
      <c r="BX31" s="14"/>
      <c r="BY31" s="14"/>
      <c r="BZ31" s="14"/>
      <c r="CA31" s="3"/>
      <c r="CB31" s="3"/>
      <c r="CC31" s="3"/>
      <c r="CD31" s="3"/>
      <c r="CE31" s="3"/>
      <c r="CF31" s="3"/>
      <c r="CG31" s="3"/>
      <c r="CH31" s="19"/>
      <c r="CI31" s="19"/>
      <c r="CJ31" s="19"/>
      <c r="CK31" s="19"/>
      <c r="CL31" s="19"/>
      <c r="CM31" s="96"/>
      <c r="CN31" s="97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</row>
    <row r="32" spans="1:121" s="22" customFormat="1" ht="8" customHeight="1">
      <c r="A32" s="19"/>
      <c r="B32" s="3"/>
      <c r="C32" s="3"/>
      <c r="D32" s="3"/>
      <c r="E32" s="3"/>
      <c r="F32" s="3"/>
      <c r="G32" s="14"/>
      <c r="H32" s="14"/>
      <c r="I32" s="14"/>
      <c r="J32" s="14"/>
      <c r="K32" s="14"/>
      <c r="L32" s="14"/>
      <c r="M32" s="14"/>
      <c r="N32" s="14"/>
      <c r="O32" s="15"/>
      <c r="P32" s="16"/>
      <c r="Q32" s="90"/>
      <c r="R32" s="90"/>
      <c r="S32" s="92"/>
      <c r="T32" s="92"/>
      <c r="U32" s="90"/>
      <c r="V32" s="90"/>
      <c r="W32" s="92"/>
      <c r="X32" s="92"/>
      <c r="Y32" s="90"/>
      <c r="Z32" s="90"/>
      <c r="AA32" s="92"/>
      <c r="AB32" s="92"/>
      <c r="AC32" s="90"/>
      <c r="AD32" s="90"/>
      <c r="AE32" s="92"/>
      <c r="AF32" s="92"/>
      <c r="AG32" s="90"/>
      <c r="AH32" s="90"/>
      <c r="AI32" s="92"/>
      <c r="AJ32" s="92"/>
      <c r="AK32" s="90"/>
      <c r="AL32" s="90"/>
      <c r="AM32" s="92"/>
      <c r="AN32" s="92"/>
      <c r="AO32" s="90"/>
      <c r="AP32" s="90"/>
      <c r="AQ32" s="92"/>
      <c r="AR32" s="92"/>
      <c r="AS32" s="90"/>
      <c r="AT32" s="90"/>
      <c r="AU32" s="92"/>
      <c r="AV32" s="92"/>
      <c r="AW32" s="90"/>
      <c r="AX32" s="90"/>
      <c r="AY32" s="92"/>
      <c r="AZ32" s="92"/>
      <c r="BA32" s="90"/>
      <c r="BB32" s="90"/>
      <c r="BC32" s="92"/>
      <c r="BD32" s="92"/>
      <c r="BE32" s="90"/>
      <c r="BF32" s="90"/>
      <c r="BG32" s="92"/>
      <c r="BH32" s="92"/>
      <c r="BI32" s="90"/>
      <c r="BJ32" s="90"/>
      <c r="BK32" s="92"/>
      <c r="BL32" s="92"/>
      <c r="BM32" s="90"/>
      <c r="BN32" s="90"/>
      <c r="BO32" s="92"/>
      <c r="BP32" s="92"/>
      <c r="BQ32" s="90"/>
      <c r="BR32" s="90"/>
      <c r="BS32" s="92"/>
      <c r="BT32" s="92"/>
      <c r="BU32" s="90"/>
      <c r="BV32" s="90"/>
      <c r="BW32" s="15"/>
      <c r="BX32" s="16"/>
      <c r="BY32" s="14"/>
      <c r="BZ32" s="14"/>
      <c r="CA32" s="3"/>
      <c r="CB32" s="3"/>
      <c r="CC32" s="3"/>
      <c r="CD32" s="3"/>
      <c r="CE32" s="3"/>
      <c r="CF32" s="3"/>
      <c r="CG32" s="3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</row>
    <row r="33" spans="1:121" s="22" customFormat="1" ht="8" customHeight="1">
      <c r="A33" s="19"/>
      <c r="B33" s="3"/>
      <c r="C33" s="3"/>
      <c r="D33" s="3"/>
      <c r="E33" s="3"/>
      <c r="F33" s="3"/>
      <c r="G33" s="14"/>
      <c r="H33" s="14"/>
      <c r="I33" s="14"/>
      <c r="J33" s="14"/>
      <c r="K33" s="14"/>
      <c r="L33" s="14"/>
      <c r="M33" s="14"/>
      <c r="N33" s="15"/>
      <c r="O33" s="89"/>
      <c r="P33" s="90"/>
      <c r="Q33" s="91"/>
      <c r="R33" s="92"/>
      <c r="S33" s="89"/>
      <c r="T33" s="90"/>
      <c r="U33" s="91"/>
      <c r="V33" s="92"/>
      <c r="W33" s="89"/>
      <c r="X33" s="90"/>
      <c r="Y33" s="91"/>
      <c r="Z33" s="92"/>
      <c r="AA33" s="89"/>
      <c r="AB33" s="90"/>
      <c r="AC33" s="91"/>
      <c r="AD33" s="92"/>
      <c r="AE33" s="89"/>
      <c r="AF33" s="90"/>
      <c r="AG33" s="91"/>
      <c r="AH33" s="92"/>
      <c r="AI33" s="89"/>
      <c r="AJ33" s="90"/>
      <c r="AK33" s="91"/>
      <c r="AL33" s="92"/>
      <c r="AM33" s="89"/>
      <c r="AN33" s="90"/>
      <c r="AO33" s="91"/>
      <c r="AP33" s="92"/>
      <c r="AQ33" s="89"/>
      <c r="AR33" s="90"/>
      <c r="AS33" s="91"/>
      <c r="AT33" s="92"/>
      <c r="AU33" s="89"/>
      <c r="AV33" s="90"/>
      <c r="AW33" s="91"/>
      <c r="AX33" s="92"/>
      <c r="AY33" s="89"/>
      <c r="AZ33" s="90"/>
      <c r="BA33" s="91"/>
      <c r="BB33" s="92"/>
      <c r="BC33" s="89"/>
      <c r="BD33" s="90"/>
      <c r="BE33" s="91"/>
      <c r="BF33" s="92"/>
      <c r="BG33" s="89"/>
      <c r="BH33" s="90"/>
      <c r="BI33" s="91"/>
      <c r="BJ33" s="92"/>
      <c r="BK33" s="89"/>
      <c r="BL33" s="90"/>
      <c r="BM33" s="91"/>
      <c r="BN33" s="92"/>
      <c r="BO33" s="89"/>
      <c r="BP33" s="90"/>
      <c r="BQ33" s="91"/>
      <c r="BR33" s="92"/>
      <c r="BS33" s="89"/>
      <c r="BT33" s="90"/>
      <c r="BU33" s="91"/>
      <c r="BV33" s="92"/>
      <c r="BW33" s="89"/>
      <c r="BX33" s="90"/>
      <c r="BY33" s="16"/>
      <c r="BZ33" s="14"/>
      <c r="CA33" s="3"/>
      <c r="CB33" s="3"/>
      <c r="CC33" s="3"/>
      <c r="CD33" s="3"/>
      <c r="CE33" s="3"/>
      <c r="CF33" s="3"/>
      <c r="CG33" s="3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</row>
    <row r="34" spans="1:121" s="22" customFormat="1" ht="8" customHeight="1">
      <c r="A34" s="19"/>
      <c r="B34" s="3"/>
      <c r="C34" s="3"/>
      <c r="D34" s="3"/>
      <c r="E34" s="3"/>
      <c r="F34" s="3"/>
      <c r="G34" s="14"/>
      <c r="H34" s="14"/>
      <c r="I34" s="14"/>
      <c r="J34" s="14"/>
      <c r="K34" s="14"/>
      <c r="L34" s="14"/>
      <c r="M34" s="15"/>
      <c r="N34" s="16"/>
      <c r="O34" s="90"/>
      <c r="P34" s="90"/>
      <c r="Q34" s="92"/>
      <c r="R34" s="92"/>
      <c r="S34" s="90"/>
      <c r="T34" s="90"/>
      <c r="U34" s="92"/>
      <c r="V34" s="92"/>
      <c r="W34" s="90"/>
      <c r="X34" s="90"/>
      <c r="Y34" s="92"/>
      <c r="Z34" s="92"/>
      <c r="AA34" s="90"/>
      <c r="AB34" s="90"/>
      <c r="AC34" s="92"/>
      <c r="AD34" s="92"/>
      <c r="AE34" s="90"/>
      <c r="AF34" s="90"/>
      <c r="AG34" s="92"/>
      <c r="AH34" s="92"/>
      <c r="AI34" s="90"/>
      <c r="AJ34" s="90"/>
      <c r="AK34" s="92"/>
      <c r="AL34" s="92"/>
      <c r="AM34" s="90"/>
      <c r="AN34" s="90"/>
      <c r="AO34" s="92"/>
      <c r="AP34" s="92"/>
      <c r="AQ34" s="90"/>
      <c r="AR34" s="90"/>
      <c r="AS34" s="92"/>
      <c r="AT34" s="92"/>
      <c r="AU34" s="90"/>
      <c r="AV34" s="90"/>
      <c r="AW34" s="92"/>
      <c r="AX34" s="92"/>
      <c r="AY34" s="90"/>
      <c r="AZ34" s="90"/>
      <c r="BA34" s="92"/>
      <c r="BB34" s="92"/>
      <c r="BC34" s="90"/>
      <c r="BD34" s="90"/>
      <c r="BE34" s="92"/>
      <c r="BF34" s="92"/>
      <c r="BG34" s="90"/>
      <c r="BH34" s="90"/>
      <c r="BI34" s="92"/>
      <c r="BJ34" s="92"/>
      <c r="BK34" s="90"/>
      <c r="BL34" s="90"/>
      <c r="BM34" s="92"/>
      <c r="BN34" s="92"/>
      <c r="BO34" s="90"/>
      <c r="BP34" s="90"/>
      <c r="BQ34" s="92"/>
      <c r="BR34" s="92"/>
      <c r="BS34" s="90"/>
      <c r="BT34" s="90"/>
      <c r="BU34" s="92"/>
      <c r="BV34" s="92"/>
      <c r="BW34" s="90"/>
      <c r="BX34" s="90"/>
      <c r="BY34" s="15"/>
      <c r="BZ34" s="16"/>
      <c r="CA34" s="3"/>
      <c r="CB34" s="3"/>
      <c r="CC34" s="3"/>
      <c r="CD34" s="3"/>
      <c r="CE34" s="3"/>
      <c r="CF34" s="3"/>
      <c r="CG34" s="3"/>
      <c r="CH34" s="19"/>
      <c r="CI34" s="93" t="s">
        <v>18</v>
      </c>
      <c r="CJ34" s="94"/>
      <c r="CK34" s="94"/>
      <c r="CL34" s="94"/>
      <c r="CM34" s="94"/>
      <c r="CN34" s="94"/>
      <c r="CO34" s="94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</row>
    <row r="35" spans="1:121" s="22" customFormat="1" ht="8" customHeight="1">
      <c r="A35" s="19"/>
      <c r="B35" s="1"/>
      <c r="C35" s="1"/>
      <c r="D35" s="1"/>
      <c r="E35" s="3"/>
      <c r="F35" s="3"/>
      <c r="G35" s="14"/>
      <c r="H35" s="14"/>
      <c r="I35" s="14"/>
      <c r="J35" s="14"/>
      <c r="K35" s="14"/>
      <c r="L35" s="15"/>
      <c r="M35" s="89"/>
      <c r="N35" s="90"/>
      <c r="O35" s="91"/>
      <c r="P35" s="92"/>
      <c r="Q35" s="89"/>
      <c r="R35" s="90"/>
      <c r="S35" s="91"/>
      <c r="T35" s="92"/>
      <c r="U35" s="89"/>
      <c r="V35" s="90"/>
      <c r="W35" s="91"/>
      <c r="X35" s="92"/>
      <c r="Y35" s="89"/>
      <c r="Z35" s="90"/>
      <c r="AA35" s="91"/>
      <c r="AB35" s="92"/>
      <c r="AC35" s="89"/>
      <c r="AD35" s="90"/>
      <c r="AE35" s="91"/>
      <c r="AF35" s="92"/>
      <c r="AG35" s="89"/>
      <c r="AH35" s="90"/>
      <c r="AI35" s="91"/>
      <c r="AJ35" s="92"/>
      <c r="AK35" s="89"/>
      <c r="AL35" s="90"/>
      <c r="AM35" s="91"/>
      <c r="AN35" s="92"/>
      <c r="AO35" s="89"/>
      <c r="AP35" s="90"/>
      <c r="AQ35" s="91"/>
      <c r="AR35" s="92"/>
      <c r="AS35" s="89"/>
      <c r="AT35" s="90"/>
      <c r="AU35" s="91"/>
      <c r="AV35" s="92"/>
      <c r="AW35" s="89"/>
      <c r="AX35" s="90"/>
      <c r="AY35" s="91"/>
      <c r="AZ35" s="92"/>
      <c r="BA35" s="89"/>
      <c r="BB35" s="90"/>
      <c r="BC35" s="91"/>
      <c r="BD35" s="92"/>
      <c r="BE35" s="89"/>
      <c r="BF35" s="90"/>
      <c r="BG35" s="91"/>
      <c r="BH35" s="92"/>
      <c r="BI35" s="89"/>
      <c r="BJ35" s="90"/>
      <c r="BK35" s="91"/>
      <c r="BL35" s="92"/>
      <c r="BM35" s="89"/>
      <c r="BN35" s="90"/>
      <c r="BO35" s="91"/>
      <c r="BP35" s="92"/>
      <c r="BQ35" s="89"/>
      <c r="BR35" s="90"/>
      <c r="BS35" s="91"/>
      <c r="BT35" s="92"/>
      <c r="BU35" s="89"/>
      <c r="BV35" s="90"/>
      <c r="BW35" s="91"/>
      <c r="BX35" s="92"/>
      <c r="BY35" s="89"/>
      <c r="BZ35" s="90"/>
      <c r="CA35" s="27"/>
      <c r="CB35" s="14"/>
      <c r="CC35" s="14"/>
      <c r="CD35" s="14"/>
      <c r="CE35" s="14"/>
      <c r="CF35" s="14"/>
      <c r="CG35" s="14"/>
      <c r="CH35" s="19"/>
      <c r="CI35" s="94"/>
      <c r="CJ35" s="94"/>
      <c r="CK35" s="94"/>
      <c r="CL35" s="94"/>
      <c r="CM35" s="94"/>
      <c r="CN35" s="94"/>
      <c r="CO35" s="94"/>
      <c r="CP35" s="19"/>
      <c r="CQ35" s="28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</row>
    <row r="36" spans="1:121" s="22" customFormat="1" ht="8" customHeight="1">
      <c r="A36" s="19"/>
      <c r="B36" s="1"/>
      <c r="C36" s="1"/>
      <c r="D36" s="1"/>
      <c r="E36" s="3"/>
      <c r="F36" s="3"/>
      <c r="G36" s="14"/>
      <c r="H36" s="14"/>
      <c r="I36" s="14"/>
      <c r="J36" s="14"/>
      <c r="K36" s="15"/>
      <c r="L36" s="16"/>
      <c r="M36" s="90"/>
      <c r="N36" s="90"/>
      <c r="O36" s="92"/>
      <c r="P36" s="92"/>
      <c r="Q36" s="90"/>
      <c r="R36" s="90"/>
      <c r="S36" s="92"/>
      <c r="T36" s="92"/>
      <c r="U36" s="90"/>
      <c r="V36" s="90"/>
      <c r="W36" s="92"/>
      <c r="X36" s="92"/>
      <c r="Y36" s="90"/>
      <c r="Z36" s="90"/>
      <c r="AA36" s="92"/>
      <c r="AB36" s="92"/>
      <c r="AC36" s="90"/>
      <c r="AD36" s="90"/>
      <c r="AE36" s="92"/>
      <c r="AF36" s="92"/>
      <c r="AG36" s="90"/>
      <c r="AH36" s="90"/>
      <c r="AI36" s="92"/>
      <c r="AJ36" s="92"/>
      <c r="AK36" s="90"/>
      <c r="AL36" s="90"/>
      <c r="AM36" s="92"/>
      <c r="AN36" s="92"/>
      <c r="AO36" s="90"/>
      <c r="AP36" s="90"/>
      <c r="AQ36" s="92"/>
      <c r="AR36" s="92"/>
      <c r="AS36" s="90"/>
      <c r="AT36" s="90"/>
      <c r="AU36" s="92"/>
      <c r="AV36" s="92"/>
      <c r="AW36" s="90"/>
      <c r="AX36" s="90"/>
      <c r="AY36" s="92"/>
      <c r="AZ36" s="92"/>
      <c r="BA36" s="90"/>
      <c r="BB36" s="90"/>
      <c r="BC36" s="92"/>
      <c r="BD36" s="92"/>
      <c r="BE36" s="90"/>
      <c r="BF36" s="90"/>
      <c r="BG36" s="92"/>
      <c r="BH36" s="92"/>
      <c r="BI36" s="90"/>
      <c r="BJ36" s="90"/>
      <c r="BK36" s="92"/>
      <c r="BL36" s="92"/>
      <c r="BM36" s="90"/>
      <c r="BN36" s="90"/>
      <c r="BO36" s="92"/>
      <c r="BP36" s="92"/>
      <c r="BQ36" s="90"/>
      <c r="BR36" s="90"/>
      <c r="BS36" s="92"/>
      <c r="BT36" s="92"/>
      <c r="BU36" s="90"/>
      <c r="BV36" s="90"/>
      <c r="BW36" s="92"/>
      <c r="BX36" s="92"/>
      <c r="BY36" s="90"/>
      <c r="BZ36" s="90"/>
      <c r="CA36" s="15"/>
      <c r="CB36" s="16"/>
      <c r="CC36" s="14"/>
      <c r="CD36" s="14"/>
      <c r="CE36" s="14"/>
      <c r="CF36" s="14"/>
      <c r="CG36" s="14"/>
      <c r="CH36" s="19"/>
      <c r="CI36" s="94"/>
      <c r="CJ36" s="94"/>
      <c r="CK36" s="94"/>
      <c r="CL36" s="94"/>
      <c r="CM36" s="94"/>
      <c r="CN36" s="94"/>
      <c r="CO36" s="94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</row>
    <row r="37" spans="1:121" s="22" customFormat="1" ht="8" customHeight="1">
      <c r="A37" s="19"/>
      <c r="B37" s="1"/>
      <c r="C37" s="1"/>
      <c r="D37" s="1"/>
      <c r="E37" s="3"/>
      <c r="F37" s="3"/>
      <c r="G37" s="14"/>
      <c r="H37" s="14"/>
      <c r="I37" s="14"/>
      <c r="J37" s="15"/>
      <c r="K37" s="89"/>
      <c r="L37" s="90"/>
      <c r="M37" s="91"/>
      <c r="N37" s="92"/>
      <c r="O37" s="89"/>
      <c r="P37" s="90"/>
      <c r="Q37" s="91"/>
      <c r="R37" s="92"/>
      <c r="S37" s="89"/>
      <c r="T37" s="90"/>
      <c r="U37" s="91"/>
      <c r="V37" s="92"/>
      <c r="W37" s="89"/>
      <c r="X37" s="90"/>
      <c r="Y37" s="91"/>
      <c r="Z37" s="92"/>
      <c r="AA37" s="89"/>
      <c r="AB37" s="90"/>
      <c r="AC37" s="91"/>
      <c r="AD37" s="92"/>
      <c r="AE37" s="89"/>
      <c r="AF37" s="90"/>
      <c r="AG37" s="91"/>
      <c r="AH37" s="92"/>
      <c r="AI37" s="89"/>
      <c r="AJ37" s="90"/>
      <c r="AK37" s="91"/>
      <c r="AL37" s="92"/>
      <c r="AM37" s="89"/>
      <c r="AN37" s="90"/>
      <c r="AO37" s="91"/>
      <c r="AP37" s="92"/>
      <c r="AQ37" s="89"/>
      <c r="AR37" s="90"/>
      <c r="AS37" s="91"/>
      <c r="AT37" s="92"/>
      <c r="AU37" s="89"/>
      <c r="AV37" s="90"/>
      <c r="AW37" s="91"/>
      <c r="AX37" s="92"/>
      <c r="AY37" s="89"/>
      <c r="AZ37" s="90"/>
      <c r="BA37" s="91"/>
      <c r="BB37" s="92"/>
      <c r="BC37" s="89"/>
      <c r="BD37" s="90"/>
      <c r="BE37" s="91"/>
      <c r="BF37" s="92"/>
      <c r="BG37" s="89"/>
      <c r="BH37" s="90"/>
      <c r="BI37" s="91"/>
      <c r="BJ37" s="92"/>
      <c r="BK37" s="89"/>
      <c r="BL37" s="90"/>
      <c r="BM37" s="91"/>
      <c r="BN37" s="92"/>
      <c r="BO37" s="89"/>
      <c r="BP37" s="90"/>
      <c r="BQ37" s="91"/>
      <c r="BR37" s="92"/>
      <c r="BS37" s="89"/>
      <c r="BT37" s="90"/>
      <c r="BU37" s="91"/>
      <c r="BV37" s="92"/>
      <c r="BW37" s="89"/>
      <c r="BX37" s="90"/>
      <c r="BY37" s="91"/>
      <c r="BZ37" s="92"/>
      <c r="CA37" s="89"/>
      <c r="CB37" s="95"/>
      <c r="CC37" s="16"/>
      <c r="CD37" s="14"/>
      <c r="CE37" s="14"/>
      <c r="CF37" s="14"/>
      <c r="CG37" s="14"/>
      <c r="CH37" s="19"/>
      <c r="CI37" s="94"/>
      <c r="CJ37" s="94"/>
      <c r="CK37" s="94"/>
      <c r="CL37" s="94"/>
      <c r="CM37" s="94"/>
      <c r="CN37" s="94"/>
      <c r="CO37" s="94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</row>
    <row r="38" spans="1:121" s="22" customFormat="1" ht="8" customHeight="1">
      <c r="A38" s="19"/>
      <c r="B38" s="1"/>
      <c r="C38" s="1"/>
      <c r="D38" s="1"/>
      <c r="E38" s="3"/>
      <c r="F38" s="3"/>
      <c r="G38" s="14"/>
      <c r="H38" s="14"/>
      <c r="I38" s="15"/>
      <c r="J38" s="16"/>
      <c r="K38" s="90"/>
      <c r="L38" s="90"/>
      <c r="M38" s="92"/>
      <c r="N38" s="92"/>
      <c r="O38" s="90"/>
      <c r="P38" s="90"/>
      <c r="Q38" s="92"/>
      <c r="R38" s="92"/>
      <c r="S38" s="90"/>
      <c r="T38" s="90"/>
      <c r="U38" s="92"/>
      <c r="V38" s="92"/>
      <c r="W38" s="90"/>
      <c r="X38" s="90"/>
      <c r="Y38" s="92"/>
      <c r="Z38" s="92"/>
      <c r="AA38" s="90"/>
      <c r="AB38" s="90"/>
      <c r="AC38" s="92"/>
      <c r="AD38" s="92"/>
      <c r="AE38" s="90"/>
      <c r="AF38" s="90"/>
      <c r="AG38" s="92"/>
      <c r="AH38" s="92"/>
      <c r="AI38" s="90"/>
      <c r="AJ38" s="90"/>
      <c r="AK38" s="92"/>
      <c r="AL38" s="92"/>
      <c r="AM38" s="90"/>
      <c r="AN38" s="90"/>
      <c r="AO38" s="92"/>
      <c r="AP38" s="92"/>
      <c r="AQ38" s="90"/>
      <c r="AR38" s="90"/>
      <c r="AS38" s="92"/>
      <c r="AT38" s="92"/>
      <c r="AU38" s="90"/>
      <c r="AV38" s="90"/>
      <c r="AW38" s="92"/>
      <c r="AX38" s="92"/>
      <c r="AY38" s="90"/>
      <c r="AZ38" s="90"/>
      <c r="BA38" s="92"/>
      <c r="BB38" s="92"/>
      <c r="BC38" s="90"/>
      <c r="BD38" s="90"/>
      <c r="BE38" s="92"/>
      <c r="BF38" s="92"/>
      <c r="BG38" s="90"/>
      <c r="BH38" s="90"/>
      <c r="BI38" s="92"/>
      <c r="BJ38" s="92"/>
      <c r="BK38" s="90"/>
      <c r="BL38" s="90"/>
      <c r="BM38" s="92"/>
      <c r="BN38" s="92"/>
      <c r="BO38" s="90"/>
      <c r="BP38" s="90"/>
      <c r="BQ38" s="92"/>
      <c r="BR38" s="92"/>
      <c r="BS38" s="90"/>
      <c r="BT38" s="90"/>
      <c r="BU38" s="92"/>
      <c r="BV38" s="92"/>
      <c r="BW38" s="90"/>
      <c r="BX38" s="90"/>
      <c r="BY38" s="92"/>
      <c r="BZ38" s="92"/>
      <c r="CA38" s="95"/>
      <c r="CB38" s="95"/>
      <c r="CC38" s="15"/>
      <c r="CD38" s="16"/>
      <c r="CE38" s="14"/>
      <c r="CF38" s="14"/>
      <c r="CG38" s="14"/>
      <c r="CH38" s="19"/>
      <c r="CI38" s="94"/>
      <c r="CJ38" s="94"/>
      <c r="CK38" s="94"/>
      <c r="CL38" s="94"/>
      <c r="CM38" s="94"/>
      <c r="CN38" s="94"/>
      <c r="CO38" s="94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</row>
    <row r="39" spans="1:121" s="22" customFormat="1" ht="8" customHeight="1">
      <c r="A39" s="19"/>
      <c r="B39" s="3"/>
      <c r="C39" s="3"/>
      <c r="D39" s="3"/>
      <c r="E39" s="3"/>
      <c r="F39" s="3"/>
      <c r="G39" s="14"/>
      <c r="H39" s="15"/>
      <c r="I39" s="89"/>
      <c r="J39" s="90"/>
      <c r="K39" s="91"/>
      <c r="L39" s="92"/>
      <c r="M39" s="89"/>
      <c r="N39" s="90"/>
      <c r="O39" s="91"/>
      <c r="P39" s="92"/>
      <c r="Q39" s="89"/>
      <c r="R39" s="90"/>
      <c r="S39" s="91"/>
      <c r="T39" s="92"/>
      <c r="U39" s="89"/>
      <c r="V39" s="90"/>
      <c r="W39" s="91"/>
      <c r="X39" s="92"/>
      <c r="Y39" s="89"/>
      <c r="Z39" s="90"/>
      <c r="AA39" s="91"/>
      <c r="AB39" s="92"/>
      <c r="AC39" s="89"/>
      <c r="AD39" s="90"/>
      <c r="AE39" s="91"/>
      <c r="AF39" s="92"/>
      <c r="AG39" s="89"/>
      <c r="AH39" s="90"/>
      <c r="AI39" s="91"/>
      <c r="AJ39" s="92"/>
      <c r="AK39" s="89"/>
      <c r="AL39" s="90"/>
      <c r="AM39" s="91"/>
      <c r="AN39" s="92"/>
      <c r="AO39" s="89"/>
      <c r="AP39" s="90"/>
      <c r="AQ39" s="91"/>
      <c r="AR39" s="92"/>
      <c r="AS39" s="89"/>
      <c r="AT39" s="90"/>
      <c r="AU39" s="91"/>
      <c r="AV39" s="92"/>
      <c r="AW39" s="89"/>
      <c r="AX39" s="90"/>
      <c r="AY39" s="91"/>
      <c r="AZ39" s="92"/>
      <c r="BA39" s="89"/>
      <c r="BB39" s="90"/>
      <c r="BC39" s="91"/>
      <c r="BD39" s="92"/>
      <c r="BE39" s="89"/>
      <c r="BF39" s="90"/>
      <c r="BG39" s="91"/>
      <c r="BH39" s="92"/>
      <c r="BI39" s="89"/>
      <c r="BJ39" s="90"/>
      <c r="BK39" s="91"/>
      <c r="BL39" s="92"/>
      <c r="BM39" s="89"/>
      <c r="BN39" s="90"/>
      <c r="BO39" s="91"/>
      <c r="BP39" s="92"/>
      <c r="BQ39" s="89"/>
      <c r="BR39" s="90"/>
      <c r="BS39" s="91"/>
      <c r="BT39" s="92"/>
      <c r="BU39" s="89"/>
      <c r="BV39" s="90"/>
      <c r="BW39" s="91"/>
      <c r="BX39" s="92"/>
      <c r="BY39" s="89"/>
      <c r="BZ39" s="95"/>
      <c r="CA39" s="91"/>
      <c r="CB39" s="92"/>
      <c r="CC39" s="89"/>
      <c r="CD39" s="95"/>
      <c r="CE39" s="16"/>
      <c r="CF39" s="14"/>
      <c r="CG39" s="14"/>
      <c r="CH39" s="19"/>
      <c r="CI39" s="94"/>
      <c r="CJ39" s="94"/>
      <c r="CK39" s="94"/>
      <c r="CL39" s="94"/>
      <c r="CM39" s="94"/>
      <c r="CN39" s="94"/>
      <c r="CO39" s="94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</row>
    <row r="40" spans="1:121" s="22" customFormat="1" ht="7.5" customHeight="1">
      <c r="A40" s="19"/>
      <c r="E40" s="3"/>
      <c r="F40" s="3"/>
      <c r="G40" s="15"/>
      <c r="H40" s="16"/>
      <c r="I40" s="90"/>
      <c r="J40" s="90"/>
      <c r="K40" s="92"/>
      <c r="L40" s="92"/>
      <c r="M40" s="90"/>
      <c r="N40" s="90"/>
      <c r="O40" s="92"/>
      <c r="P40" s="92"/>
      <c r="Q40" s="90"/>
      <c r="R40" s="90"/>
      <c r="S40" s="92"/>
      <c r="T40" s="92"/>
      <c r="U40" s="90"/>
      <c r="V40" s="90"/>
      <c r="W40" s="92"/>
      <c r="X40" s="92"/>
      <c r="Y40" s="90"/>
      <c r="Z40" s="90"/>
      <c r="AA40" s="92"/>
      <c r="AB40" s="92"/>
      <c r="AC40" s="90"/>
      <c r="AD40" s="90"/>
      <c r="AE40" s="92"/>
      <c r="AF40" s="92"/>
      <c r="AG40" s="90"/>
      <c r="AH40" s="90"/>
      <c r="AI40" s="92"/>
      <c r="AJ40" s="92"/>
      <c r="AK40" s="90"/>
      <c r="AL40" s="90"/>
      <c r="AM40" s="92"/>
      <c r="AN40" s="92"/>
      <c r="AO40" s="90"/>
      <c r="AP40" s="90"/>
      <c r="AQ40" s="92"/>
      <c r="AR40" s="92"/>
      <c r="AS40" s="90"/>
      <c r="AT40" s="90"/>
      <c r="AU40" s="92"/>
      <c r="AV40" s="92"/>
      <c r="AW40" s="90"/>
      <c r="AX40" s="90"/>
      <c r="AY40" s="92"/>
      <c r="AZ40" s="92"/>
      <c r="BA40" s="90"/>
      <c r="BB40" s="90"/>
      <c r="BC40" s="92"/>
      <c r="BD40" s="92"/>
      <c r="BE40" s="90"/>
      <c r="BF40" s="90"/>
      <c r="BG40" s="92"/>
      <c r="BH40" s="92"/>
      <c r="BI40" s="90"/>
      <c r="BJ40" s="90"/>
      <c r="BK40" s="92"/>
      <c r="BL40" s="92"/>
      <c r="BM40" s="90"/>
      <c r="BN40" s="90"/>
      <c r="BO40" s="92"/>
      <c r="BP40" s="92"/>
      <c r="BQ40" s="90"/>
      <c r="BR40" s="90"/>
      <c r="BS40" s="92"/>
      <c r="BT40" s="92"/>
      <c r="BU40" s="90"/>
      <c r="BV40" s="90"/>
      <c r="BW40" s="92"/>
      <c r="BX40" s="92"/>
      <c r="BY40" s="95"/>
      <c r="BZ40" s="95"/>
      <c r="CA40" s="92"/>
      <c r="CB40" s="92"/>
      <c r="CC40" s="95"/>
      <c r="CD40" s="95"/>
      <c r="CE40" s="15"/>
      <c r="CF40" s="16"/>
      <c r="CG40" s="14"/>
      <c r="CH40" s="19"/>
      <c r="CI40" s="94"/>
      <c r="CJ40" s="94"/>
      <c r="CK40" s="94"/>
      <c r="CL40" s="94"/>
      <c r="CM40" s="94"/>
      <c r="CN40" s="94"/>
      <c r="CO40" s="94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</row>
    <row r="41" spans="1:121" s="22" customFormat="1" ht="8.25" customHeight="1">
      <c r="A41" s="19"/>
      <c r="E41" s="3"/>
      <c r="F41" s="4"/>
      <c r="G41" s="88"/>
      <c r="H41" s="88"/>
      <c r="I41" s="16"/>
      <c r="J41" s="15"/>
      <c r="K41" s="88"/>
      <c r="L41" s="88"/>
      <c r="M41" s="16"/>
      <c r="N41" s="30"/>
      <c r="O41" s="87"/>
      <c r="P41" s="87"/>
      <c r="Q41" s="31"/>
      <c r="R41" s="30"/>
      <c r="S41" s="87"/>
      <c r="T41" s="87"/>
      <c r="U41" s="31"/>
      <c r="V41" s="30"/>
      <c r="W41" s="87"/>
      <c r="X41" s="87"/>
      <c r="Y41" s="31"/>
      <c r="Z41" s="30"/>
      <c r="AA41" s="87"/>
      <c r="AB41" s="87"/>
      <c r="AC41" s="31"/>
      <c r="AD41" s="30"/>
      <c r="AE41" s="87"/>
      <c r="AF41" s="87"/>
      <c r="AG41" s="31"/>
      <c r="AH41" s="30"/>
      <c r="AI41" s="87"/>
      <c r="AJ41" s="87"/>
      <c r="AK41" s="31"/>
      <c r="AL41" s="30"/>
      <c r="AM41" s="87"/>
      <c r="AN41" s="87"/>
      <c r="AO41" s="31"/>
      <c r="AP41" s="30"/>
      <c r="AQ41" s="87"/>
      <c r="AR41" s="87"/>
      <c r="AS41" s="31"/>
      <c r="AT41" s="30"/>
      <c r="AU41" s="87"/>
      <c r="AV41" s="87"/>
      <c r="AW41" s="31"/>
      <c r="AX41" s="30"/>
      <c r="AY41" s="87"/>
      <c r="AZ41" s="87"/>
      <c r="BA41" s="31"/>
      <c r="BB41" s="30"/>
      <c r="BC41" s="87"/>
      <c r="BD41" s="87"/>
      <c r="BE41" s="31"/>
      <c r="BF41" s="30"/>
      <c r="BG41" s="87"/>
      <c r="BH41" s="87"/>
      <c r="BI41" s="31"/>
      <c r="BJ41" s="30"/>
      <c r="BK41" s="87"/>
      <c r="BL41" s="87"/>
      <c r="BM41" s="31"/>
      <c r="BN41" s="30"/>
      <c r="BO41" s="87"/>
      <c r="BP41" s="87"/>
      <c r="BQ41" s="31"/>
      <c r="BR41" s="30"/>
      <c r="BS41" s="87"/>
      <c r="BT41" s="87"/>
      <c r="BU41" s="31"/>
      <c r="BV41" s="30"/>
      <c r="BW41" s="87"/>
      <c r="BX41" s="87"/>
      <c r="BY41" s="31"/>
      <c r="BZ41" s="30"/>
      <c r="CA41" s="78"/>
      <c r="CB41" s="78"/>
      <c r="CC41" s="32"/>
      <c r="CD41" s="33"/>
      <c r="CE41" s="78"/>
      <c r="CF41" s="78"/>
      <c r="CG41" s="32"/>
      <c r="CH41" s="19"/>
      <c r="CI41" s="79" t="s">
        <v>19</v>
      </c>
      <c r="CK41" s="82" t="s">
        <v>20</v>
      </c>
      <c r="CL41" s="83"/>
      <c r="CM41" s="83"/>
      <c r="CN41" s="83"/>
      <c r="CO41" s="84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</row>
    <row r="42" spans="1:121" ht="111.75" customHeight="1">
      <c r="A42" s="34"/>
      <c r="B42" s="34"/>
      <c r="C42" s="34"/>
      <c r="D42" s="34"/>
      <c r="E42" s="85" t="s">
        <v>34</v>
      </c>
      <c r="F42" s="71"/>
      <c r="G42" s="72"/>
      <c r="H42" s="72"/>
      <c r="I42" s="77"/>
      <c r="J42" s="71"/>
      <c r="K42" s="72"/>
      <c r="L42" s="72"/>
      <c r="M42" s="77"/>
      <c r="N42" s="71"/>
      <c r="O42" s="72"/>
      <c r="P42" s="72"/>
      <c r="Q42" s="77"/>
      <c r="R42" s="71"/>
      <c r="S42" s="72"/>
      <c r="T42" s="72"/>
      <c r="U42" s="77"/>
      <c r="V42" s="71"/>
      <c r="W42" s="72"/>
      <c r="X42" s="72"/>
      <c r="Y42" s="77"/>
      <c r="Z42" s="71"/>
      <c r="AA42" s="72"/>
      <c r="AB42" s="72"/>
      <c r="AC42" s="77"/>
      <c r="AD42" s="71"/>
      <c r="AE42" s="72"/>
      <c r="AF42" s="72"/>
      <c r="AG42" s="77"/>
      <c r="AH42" s="71"/>
      <c r="AI42" s="72"/>
      <c r="AJ42" s="72"/>
      <c r="AK42" s="77"/>
      <c r="AL42" s="71"/>
      <c r="AM42" s="72"/>
      <c r="AN42" s="72"/>
      <c r="AO42" s="77"/>
      <c r="AP42" s="71"/>
      <c r="AQ42" s="72"/>
      <c r="AR42" s="72"/>
      <c r="AS42" s="77"/>
      <c r="AT42" s="71"/>
      <c r="AU42" s="72"/>
      <c r="AV42" s="72"/>
      <c r="AW42" s="77"/>
      <c r="AX42" s="71"/>
      <c r="AY42" s="72"/>
      <c r="AZ42" s="72"/>
      <c r="BA42" s="77"/>
      <c r="BB42" s="71"/>
      <c r="BC42" s="72"/>
      <c r="BD42" s="72"/>
      <c r="BE42" s="77"/>
      <c r="BF42" s="71"/>
      <c r="BG42" s="72"/>
      <c r="BH42" s="72"/>
      <c r="BI42" s="77"/>
      <c r="BJ42" s="71"/>
      <c r="BK42" s="72"/>
      <c r="BL42" s="72"/>
      <c r="BM42" s="77"/>
      <c r="BN42" s="71"/>
      <c r="BO42" s="72"/>
      <c r="BP42" s="72"/>
      <c r="BQ42" s="77"/>
      <c r="BR42" s="71"/>
      <c r="BS42" s="72"/>
      <c r="BT42" s="72"/>
      <c r="BU42" s="77"/>
      <c r="BV42" s="71"/>
      <c r="BW42" s="72"/>
      <c r="BX42" s="72"/>
      <c r="BY42" s="77"/>
      <c r="BZ42" s="71"/>
      <c r="CA42" s="72"/>
      <c r="CB42" s="72"/>
      <c r="CC42" s="73"/>
      <c r="CD42" s="71"/>
      <c r="CE42" s="72"/>
      <c r="CF42" s="72"/>
      <c r="CG42" s="77"/>
      <c r="CH42" s="34"/>
      <c r="CI42" s="80"/>
      <c r="CJ42" s="34"/>
      <c r="CK42" s="67"/>
      <c r="CL42" s="67"/>
      <c r="CM42" s="67"/>
      <c r="CN42" s="67"/>
      <c r="CO42" s="67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</row>
    <row r="43" spans="1:121" ht="37.5" customHeight="1">
      <c r="A43" s="34"/>
      <c r="B43" s="69" t="s">
        <v>33</v>
      </c>
      <c r="C43" s="70"/>
      <c r="D43" s="35"/>
      <c r="E43" s="86"/>
      <c r="F43" s="74"/>
      <c r="G43" s="75"/>
      <c r="H43" s="75"/>
      <c r="I43" s="76"/>
      <c r="J43" s="74"/>
      <c r="K43" s="75"/>
      <c r="L43" s="75"/>
      <c r="M43" s="76"/>
      <c r="N43" s="74"/>
      <c r="O43" s="75"/>
      <c r="P43" s="75"/>
      <c r="Q43" s="76"/>
      <c r="R43" s="74"/>
      <c r="S43" s="75"/>
      <c r="T43" s="75"/>
      <c r="U43" s="76"/>
      <c r="V43" s="74"/>
      <c r="W43" s="75"/>
      <c r="X43" s="75"/>
      <c r="Y43" s="76"/>
      <c r="Z43" s="74"/>
      <c r="AA43" s="75"/>
      <c r="AB43" s="75"/>
      <c r="AC43" s="76"/>
      <c r="AD43" s="74"/>
      <c r="AE43" s="75"/>
      <c r="AF43" s="75"/>
      <c r="AG43" s="76"/>
      <c r="AH43" s="74"/>
      <c r="AI43" s="75"/>
      <c r="AJ43" s="75"/>
      <c r="AK43" s="76"/>
      <c r="AL43" s="74"/>
      <c r="AM43" s="75"/>
      <c r="AN43" s="75"/>
      <c r="AO43" s="76"/>
      <c r="AP43" s="74"/>
      <c r="AQ43" s="75"/>
      <c r="AR43" s="75"/>
      <c r="AS43" s="76"/>
      <c r="AT43" s="74"/>
      <c r="AU43" s="75"/>
      <c r="AV43" s="75"/>
      <c r="AW43" s="76"/>
      <c r="AX43" s="74"/>
      <c r="AY43" s="75"/>
      <c r="AZ43" s="75"/>
      <c r="BA43" s="76"/>
      <c r="BB43" s="74"/>
      <c r="BC43" s="75"/>
      <c r="BD43" s="75"/>
      <c r="BE43" s="76"/>
      <c r="BF43" s="74"/>
      <c r="BG43" s="75"/>
      <c r="BH43" s="75"/>
      <c r="BI43" s="76"/>
      <c r="BJ43" s="74"/>
      <c r="BK43" s="75"/>
      <c r="BL43" s="75"/>
      <c r="BM43" s="76"/>
      <c r="BN43" s="74"/>
      <c r="BO43" s="75"/>
      <c r="BP43" s="75"/>
      <c r="BQ43" s="76"/>
      <c r="BR43" s="74"/>
      <c r="BS43" s="75"/>
      <c r="BT43" s="75"/>
      <c r="BU43" s="76"/>
      <c r="BV43" s="74"/>
      <c r="BW43" s="75"/>
      <c r="BX43" s="75"/>
      <c r="BY43" s="76"/>
      <c r="BZ43" s="74"/>
      <c r="CA43" s="75"/>
      <c r="CB43" s="75"/>
      <c r="CC43" s="76"/>
      <c r="CD43" s="74"/>
      <c r="CE43" s="75"/>
      <c r="CF43" s="75"/>
      <c r="CG43" s="76"/>
      <c r="CH43" s="34"/>
      <c r="CI43" s="81"/>
      <c r="CJ43" s="34"/>
      <c r="CK43" s="68"/>
      <c r="CL43" s="68"/>
      <c r="CM43" s="68"/>
      <c r="CN43" s="68"/>
      <c r="CO43" s="68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</row>
    <row r="44" spans="1:121" ht="30" customHeight="1">
      <c r="A44" s="34"/>
      <c r="B44" s="36"/>
      <c r="C44" s="37"/>
      <c r="D44" s="38"/>
      <c r="E44" s="34"/>
      <c r="F44" s="63"/>
      <c r="G44" s="65"/>
      <c r="H44" s="65"/>
      <c r="I44" s="66"/>
      <c r="J44" s="63"/>
      <c r="K44" s="65"/>
      <c r="L44" s="65"/>
      <c r="M44" s="66"/>
      <c r="N44" s="63"/>
      <c r="O44" s="65"/>
      <c r="P44" s="65"/>
      <c r="Q44" s="66"/>
      <c r="R44" s="63"/>
      <c r="S44" s="65"/>
      <c r="T44" s="65"/>
      <c r="U44" s="66"/>
      <c r="V44" s="63"/>
      <c r="W44" s="65"/>
      <c r="X44" s="65"/>
      <c r="Y44" s="66"/>
      <c r="Z44" s="63"/>
      <c r="AA44" s="65"/>
      <c r="AB44" s="65"/>
      <c r="AC44" s="66"/>
      <c r="AD44" s="63"/>
      <c r="AE44" s="65"/>
      <c r="AF44" s="65"/>
      <c r="AG44" s="66"/>
      <c r="AH44" s="63"/>
      <c r="AI44" s="65"/>
      <c r="AJ44" s="65"/>
      <c r="AK44" s="66"/>
      <c r="AL44" s="63"/>
      <c r="AM44" s="65"/>
      <c r="AN44" s="65"/>
      <c r="AO44" s="66"/>
      <c r="AP44" s="63"/>
      <c r="AQ44" s="65"/>
      <c r="AR44" s="65"/>
      <c r="AS44" s="66"/>
      <c r="AT44" s="63"/>
      <c r="AU44" s="65"/>
      <c r="AV44" s="65"/>
      <c r="AW44" s="66"/>
      <c r="AX44" s="63"/>
      <c r="AY44" s="65"/>
      <c r="AZ44" s="65"/>
      <c r="BA44" s="66"/>
      <c r="BB44" s="63"/>
      <c r="BC44" s="65"/>
      <c r="BD44" s="65"/>
      <c r="BE44" s="66"/>
      <c r="BF44" s="63"/>
      <c r="BG44" s="65"/>
      <c r="BH44" s="65"/>
      <c r="BI44" s="66"/>
      <c r="BJ44" s="63"/>
      <c r="BK44" s="65"/>
      <c r="BL44" s="65"/>
      <c r="BM44" s="66"/>
      <c r="BN44" s="63"/>
      <c r="BO44" s="65"/>
      <c r="BP44" s="65"/>
      <c r="BQ44" s="66"/>
      <c r="BR44" s="63"/>
      <c r="BS44" s="65"/>
      <c r="BT44" s="65"/>
      <c r="BU44" s="66"/>
      <c r="BV44" s="63"/>
      <c r="BW44" s="65"/>
      <c r="BX44" s="65"/>
      <c r="BY44" s="66"/>
      <c r="BZ44" s="63"/>
      <c r="CA44" s="65"/>
      <c r="CB44" s="65"/>
      <c r="CC44" s="66"/>
      <c r="CD44" s="63"/>
      <c r="CE44" s="65"/>
      <c r="CF44" s="65"/>
      <c r="CG44" s="66"/>
      <c r="CH44" s="34"/>
      <c r="CI44" s="39"/>
      <c r="CJ44" s="40"/>
      <c r="CK44" s="39"/>
      <c r="CL44" s="39"/>
      <c r="CM44" s="39"/>
      <c r="CN44" s="39"/>
      <c r="CO44" s="39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</row>
    <row r="45" spans="1:121" ht="30" customHeight="1">
      <c r="A45" s="34"/>
      <c r="B45" s="37"/>
      <c r="C45" s="37"/>
      <c r="D45" s="38"/>
      <c r="E45" s="34"/>
      <c r="F45" s="63"/>
      <c r="G45" s="65"/>
      <c r="H45" s="65"/>
      <c r="I45" s="66"/>
      <c r="J45" s="63"/>
      <c r="K45" s="65"/>
      <c r="L45" s="65"/>
      <c r="M45" s="66"/>
      <c r="N45" s="63"/>
      <c r="O45" s="65"/>
      <c r="P45" s="65"/>
      <c r="Q45" s="66"/>
      <c r="R45" s="63"/>
      <c r="S45" s="65"/>
      <c r="T45" s="65"/>
      <c r="U45" s="66"/>
      <c r="V45" s="63"/>
      <c r="W45" s="65"/>
      <c r="X45" s="65"/>
      <c r="Y45" s="66"/>
      <c r="Z45" s="63"/>
      <c r="AA45" s="65"/>
      <c r="AB45" s="65"/>
      <c r="AC45" s="66"/>
      <c r="AD45" s="63"/>
      <c r="AE45" s="65"/>
      <c r="AF45" s="65"/>
      <c r="AG45" s="66"/>
      <c r="AH45" s="63"/>
      <c r="AI45" s="65"/>
      <c r="AJ45" s="65"/>
      <c r="AK45" s="66"/>
      <c r="AL45" s="63"/>
      <c r="AM45" s="65"/>
      <c r="AN45" s="65"/>
      <c r="AO45" s="66"/>
      <c r="AP45" s="63"/>
      <c r="AQ45" s="65"/>
      <c r="AR45" s="65"/>
      <c r="AS45" s="66"/>
      <c r="AT45" s="63"/>
      <c r="AU45" s="65"/>
      <c r="AV45" s="65"/>
      <c r="AW45" s="66"/>
      <c r="AX45" s="63"/>
      <c r="AY45" s="65"/>
      <c r="AZ45" s="65"/>
      <c r="BA45" s="66"/>
      <c r="BB45" s="63"/>
      <c r="BC45" s="65"/>
      <c r="BD45" s="65"/>
      <c r="BE45" s="66"/>
      <c r="BF45" s="63"/>
      <c r="BG45" s="65"/>
      <c r="BH45" s="65"/>
      <c r="BI45" s="66"/>
      <c r="BJ45" s="63"/>
      <c r="BK45" s="65"/>
      <c r="BL45" s="65"/>
      <c r="BM45" s="66"/>
      <c r="BN45" s="63"/>
      <c r="BO45" s="65"/>
      <c r="BP45" s="65"/>
      <c r="BQ45" s="66"/>
      <c r="BR45" s="63"/>
      <c r="BS45" s="65"/>
      <c r="BT45" s="65"/>
      <c r="BU45" s="66"/>
      <c r="BV45" s="63"/>
      <c r="BW45" s="65"/>
      <c r="BX45" s="65"/>
      <c r="BY45" s="66"/>
      <c r="BZ45" s="63"/>
      <c r="CA45" s="65"/>
      <c r="CB45" s="65"/>
      <c r="CC45" s="66"/>
      <c r="CD45" s="63"/>
      <c r="CE45" s="65"/>
      <c r="CF45" s="65"/>
      <c r="CG45" s="66"/>
      <c r="CH45" s="34"/>
      <c r="CI45" s="39"/>
      <c r="CJ45" s="40"/>
      <c r="CK45" s="39"/>
      <c r="CL45" s="39"/>
      <c r="CM45" s="39"/>
      <c r="CN45" s="39"/>
      <c r="CO45" s="39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</row>
    <row r="46" spans="1:121" ht="30" customHeight="1">
      <c r="A46" s="34"/>
      <c r="B46" s="37"/>
      <c r="C46" s="37"/>
      <c r="D46" s="38"/>
      <c r="E46" s="34"/>
      <c r="F46" s="63"/>
      <c r="G46" s="65"/>
      <c r="H46" s="65"/>
      <c r="I46" s="66"/>
      <c r="J46" s="63"/>
      <c r="K46" s="65"/>
      <c r="L46" s="65"/>
      <c r="M46" s="66"/>
      <c r="N46" s="63"/>
      <c r="O46" s="65"/>
      <c r="P46" s="65"/>
      <c r="Q46" s="66"/>
      <c r="R46" s="63"/>
      <c r="S46" s="65"/>
      <c r="T46" s="65"/>
      <c r="U46" s="66"/>
      <c r="V46" s="63"/>
      <c r="W46" s="65"/>
      <c r="X46" s="65"/>
      <c r="Y46" s="66"/>
      <c r="Z46" s="63"/>
      <c r="AA46" s="65"/>
      <c r="AB46" s="65"/>
      <c r="AC46" s="66"/>
      <c r="AD46" s="63"/>
      <c r="AE46" s="65"/>
      <c r="AF46" s="65"/>
      <c r="AG46" s="66"/>
      <c r="AH46" s="63"/>
      <c r="AI46" s="65"/>
      <c r="AJ46" s="65"/>
      <c r="AK46" s="66"/>
      <c r="AL46" s="63"/>
      <c r="AM46" s="65"/>
      <c r="AN46" s="65"/>
      <c r="AO46" s="66"/>
      <c r="AP46" s="63"/>
      <c r="AQ46" s="65"/>
      <c r="AR46" s="65"/>
      <c r="AS46" s="66"/>
      <c r="AT46" s="63"/>
      <c r="AU46" s="65"/>
      <c r="AV46" s="65"/>
      <c r="AW46" s="66"/>
      <c r="AX46" s="63"/>
      <c r="AY46" s="65"/>
      <c r="AZ46" s="65"/>
      <c r="BA46" s="66"/>
      <c r="BB46" s="63"/>
      <c r="BC46" s="65"/>
      <c r="BD46" s="65"/>
      <c r="BE46" s="66"/>
      <c r="BF46" s="63"/>
      <c r="BG46" s="65"/>
      <c r="BH46" s="65"/>
      <c r="BI46" s="66"/>
      <c r="BJ46" s="63"/>
      <c r="BK46" s="65"/>
      <c r="BL46" s="65"/>
      <c r="BM46" s="66"/>
      <c r="BN46" s="63"/>
      <c r="BO46" s="65"/>
      <c r="BP46" s="65"/>
      <c r="BQ46" s="66"/>
      <c r="BR46" s="63"/>
      <c r="BS46" s="65"/>
      <c r="BT46" s="65"/>
      <c r="BU46" s="66"/>
      <c r="BV46" s="63"/>
      <c r="BW46" s="65"/>
      <c r="BX46" s="65"/>
      <c r="BY46" s="66"/>
      <c r="BZ46" s="63"/>
      <c r="CA46" s="65"/>
      <c r="CB46" s="65"/>
      <c r="CC46" s="66"/>
      <c r="CD46" s="63"/>
      <c r="CE46" s="65"/>
      <c r="CF46" s="65"/>
      <c r="CG46" s="66"/>
      <c r="CH46" s="34"/>
      <c r="CI46" s="39"/>
      <c r="CJ46" s="40"/>
      <c r="CK46" s="39"/>
      <c r="CL46" s="39"/>
      <c r="CM46" s="39"/>
      <c r="CN46" s="39"/>
      <c r="CO46" s="39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</row>
    <row r="47" spans="1:121" ht="30" customHeight="1">
      <c r="A47" s="34"/>
      <c r="B47" s="37"/>
      <c r="C47" s="37"/>
      <c r="D47" s="38"/>
      <c r="E47" s="34"/>
      <c r="F47" s="63"/>
      <c r="G47" s="65"/>
      <c r="H47" s="65"/>
      <c r="I47" s="66"/>
      <c r="J47" s="63"/>
      <c r="K47" s="65"/>
      <c r="L47" s="65"/>
      <c r="M47" s="66"/>
      <c r="N47" s="63"/>
      <c r="O47" s="65"/>
      <c r="P47" s="65"/>
      <c r="Q47" s="66"/>
      <c r="R47" s="63"/>
      <c r="S47" s="65"/>
      <c r="T47" s="65"/>
      <c r="U47" s="66"/>
      <c r="V47" s="63"/>
      <c r="W47" s="65"/>
      <c r="X47" s="65"/>
      <c r="Y47" s="66"/>
      <c r="Z47" s="63"/>
      <c r="AA47" s="65"/>
      <c r="AB47" s="65"/>
      <c r="AC47" s="66"/>
      <c r="AD47" s="63"/>
      <c r="AE47" s="65"/>
      <c r="AF47" s="65"/>
      <c r="AG47" s="66"/>
      <c r="AH47" s="63"/>
      <c r="AI47" s="65"/>
      <c r="AJ47" s="65"/>
      <c r="AK47" s="66"/>
      <c r="AL47" s="63"/>
      <c r="AM47" s="65"/>
      <c r="AN47" s="65"/>
      <c r="AO47" s="66"/>
      <c r="AP47" s="63"/>
      <c r="AQ47" s="65"/>
      <c r="AR47" s="65"/>
      <c r="AS47" s="66"/>
      <c r="AT47" s="63"/>
      <c r="AU47" s="65"/>
      <c r="AV47" s="65"/>
      <c r="AW47" s="66"/>
      <c r="AX47" s="63"/>
      <c r="AY47" s="65"/>
      <c r="AZ47" s="65"/>
      <c r="BA47" s="66"/>
      <c r="BB47" s="63"/>
      <c r="BC47" s="65"/>
      <c r="BD47" s="65"/>
      <c r="BE47" s="66"/>
      <c r="BF47" s="63"/>
      <c r="BG47" s="65"/>
      <c r="BH47" s="65"/>
      <c r="BI47" s="66"/>
      <c r="BJ47" s="63"/>
      <c r="BK47" s="65"/>
      <c r="BL47" s="65"/>
      <c r="BM47" s="66"/>
      <c r="BN47" s="63"/>
      <c r="BO47" s="65"/>
      <c r="BP47" s="65"/>
      <c r="BQ47" s="66"/>
      <c r="BR47" s="63"/>
      <c r="BS47" s="65"/>
      <c r="BT47" s="65"/>
      <c r="BU47" s="66"/>
      <c r="BV47" s="63"/>
      <c r="BW47" s="65"/>
      <c r="BX47" s="65"/>
      <c r="BY47" s="66"/>
      <c r="BZ47" s="63"/>
      <c r="CA47" s="65"/>
      <c r="CB47" s="65"/>
      <c r="CC47" s="66"/>
      <c r="CD47" s="63"/>
      <c r="CE47" s="65"/>
      <c r="CF47" s="65"/>
      <c r="CG47" s="66"/>
      <c r="CH47" s="34"/>
      <c r="CI47" s="39"/>
      <c r="CJ47" s="40"/>
      <c r="CK47" s="39"/>
      <c r="CL47" s="39"/>
      <c r="CM47" s="39"/>
      <c r="CN47" s="39"/>
      <c r="CO47" s="39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</row>
    <row r="48" spans="1:121" ht="30" customHeight="1">
      <c r="A48" s="34"/>
      <c r="B48" s="37"/>
      <c r="C48" s="37"/>
      <c r="D48" s="38"/>
      <c r="E48" s="34"/>
      <c r="F48" s="63"/>
      <c r="G48" s="65"/>
      <c r="H48" s="65"/>
      <c r="I48" s="66"/>
      <c r="J48" s="63"/>
      <c r="K48" s="65"/>
      <c r="L48" s="65"/>
      <c r="M48" s="66"/>
      <c r="N48" s="63"/>
      <c r="O48" s="65"/>
      <c r="P48" s="65"/>
      <c r="Q48" s="66"/>
      <c r="R48" s="63"/>
      <c r="S48" s="65"/>
      <c r="T48" s="65"/>
      <c r="U48" s="66"/>
      <c r="V48" s="63"/>
      <c r="W48" s="65"/>
      <c r="X48" s="65"/>
      <c r="Y48" s="66"/>
      <c r="Z48" s="63"/>
      <c r="AA48" s="65"/>
      <c r="AB48" s="65"/>
      <c r="AC48" s="66"/>
      <c r="AD48" s="63"/>
      <c r="AE48" s="65"/>
      <c r="AF48" s="65"/>
      <c r="AG48" s="66"/>
      <c r="AH48" s="63"/>
      <c r="AI48" s="65"/>
      <c r="AJ48" s="65"/>
      <c r="AK48" s="66"/>
      <c r="AL48" s="63"/>
      <c r="AM48" s="65"/>
      <c r="AN48" s="65"/>
      <c r="AO48" s="66"/>
      <c r="AP48" s="63"/>
      <c r="AQ48" s="65"/>
      <c r="AR48" s="65"/>
      <c r="AS48" s="66"/>
      <c r="AT48" s="63"/>
      <c r="AU48" s="65"/>
      <c r="AV48" s="65"/>
      <c r="AW48" s="66"/>
      <c r="AX48" s="63"/>
      <c r="AY48" s="65"/>
      <c r="AZ48" s="65"/>
      <c r="BA48" s="66"/>
      <c r="BB48" s="63"/>
      <c r="BC48" s="65"/>
      <c r="BD48" s="65"/>
      <c r="BE48" s="66"/>
      <c r="BF48" s="63"/>
      <c r="BG48" s="65"/>
      <c r="BH48" s="65"/>
      <c r="BI48" s="66"/>
      <c r="BJ48" s="63"/>
      <c r="BK48" s="65"/>
      <c r="BL48" s="65"/>
      <c r="BM48" s="66"/>
      <c r="BN48" s="63"/>
      <c r="BO48" s="65"/>
      <c r="BP48" s="65"/>
      <c r="BQ48" s="66"/>
      <c r="BR48" s="63"/>
      <c r="BS48" s="65"/>
      <c r="BT48" s="65"/>
      <c r="BU48" s="66"/>
      <c r="BV48" s="63"/>
      <c r="BW48" s="65"/>
      <c r="BX48" s="65"/>
      <c r="BY48" s="66"/>
      <c r="BZ48" s="63"/>
      <c r="CA48" s="65"/>
      <c r="CB48" s="65"/>
      <c r="CC48" s="66"/>
      <c r="CD48" s="63"/>
      <c r="CE48" s="65"/>
      <c r="CF48" s="65"/>
      <c r="CG48" s="66"/>
      <c r="CH48" s="34"/>
      <c r="CI48" s="39"/>
      <c r="CJ48" s="40"/>
      <c r="CK48" s="39"/>
      <c r="CL48" s="39"/>
      <c r="CM48" s="39"/>
      <c r="CN48" s="39"/>
      <c r="CO48" s="39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</row>
    <row r="49" spans="1:121" ht="30" customHeight="1">
      <c r="A49" s="34"/>
      <c r="B49" s="37"/>
      <c r="C49" s="37"/>
      <c r="D49" s="38"/>
      <c r="E49" s="34"/>
      <c r="F49" s="63"/>
      <c r="G49" s="65"/>
      <c r="H49" s="65"/>
      <c r="I49" s="66"/>
      <c r="J49" s="63"/>
      <c r="K49" s="65"/>
      <c r="L49" s="65"/>
      <c r="M49" s="66"/>
      <c r="N49" s="63"/>
      <c r="O49" s="65"/>
      <c r="P49" s="65"/>
      <c r="Q49" s="66"/>
      <c r="R49" s="63"/>
      <c r="S49" s="65"/>
      <c r="T49" s="65"/>
      <c r="U49" s="66"/>
      <c r="V49" s="63"/>
      <c r="W49" s="65"/>
      <c r="X49" s="65"/>
      <c r="Y49" s="66"/>
      <c r="Z49" s="63"/>
      <c r="AA49" s="65"/>
      <c r="AB49" s="65"/>
      <c r="AC49" s="66"/>
      <c r="AD49" s="63"/>
      <c r="AE49" s="65"/>
      <c r="AF49" s="65"/>
      <c r="AG49" s="66"/>
      <c r="AH49" s="63"/>
      <c r="AI49" s="65"/>
      <c r="AJ49" s="65"/>
      <c r="AK49" s="66"/>
      <c r="AL49" s="63"/>
      <c r="AM49" s="65"/>
      <c r="AN49" s="65"/>
      <c r="AO49" s="66"/>
      <c r="AP49" s="63"/>
      <c r="AQ49" s="65"/>
      <c r="AR49" s="65"/>
      <c r="AS49" s="66"/>
      <c r="AT49" s="63"/>
      <c r="AU49" s="65"/>
      <c r="AV49" s="65"/>
      <c r="AW49" s="66"/>
      <c r="AX49" s="63"/>
      <c r="AY49" s="65"/>
      <c r="AZ49" s="65"/>
      <c r="BA49" s="66"/>
      <c r="BB49" s="63"/>
      <c r="BC49" s="65"/>
      <c r="BD49" s="65"/>
      <c r="BE49" s="66"/>
      <c r="BF49" s="63"/>
      <c r="BG49" s="65"/>
      <c r="BH49" s="65"/>
      <c r="BI49" s="66"/>
      <c r="BJ49" s="63"/>
      <c r="BK49" s="65"/>
      <c r="BL49" s="65"/>
      <c r="BM49" s="66"/>
      <c r="BN49" s="63"/>
      <c r="BO49" s="65"/>
      <c r="BP49" s="65"/>
      <c r="BQ49" s="66"/>
      <c r="BR49" s="63"/>
      <c r="BS49" s="65"/>
      <c r="BT49" s="65"/>
      <c r="BU49" s="66"/>
      <c r="BV49" s="63"/>
      <c r="BW49" s="65"/>
      <c r="BX49" s="65"/>
      <c r="BY49" s="66"/>
      <c r="BZ49" s="63"/>
      <c r="CA49" s="65"/>
      <c r="CB49" s="65"/>
      <c r="CC49" s="66"/>
      <c r="CD49" s="63"/>
      <c r="CE49" s="65"/>
      <c r="CF49" s="65"/>
      <c r="CG49" s="66"/>
      <c r="CH49" s="34"/>
      <c r="CI49" s="39"/>
      <c r="CJ49" s="40"/>
      <c r="CK49" s="39"/>
      <c r="CL49" s="39"/>
      <c r="CM49" s="39"/>
      <c r="CN49" s="39"/>
      <c r="CO49" s="39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</row>
    <row r="50" spans="1:121" ht="30" customHeight="1">
      <c r="A50" s="34"/>
      <c r="B50" s="37"/>
      <c r="C50" s="37"/>
      <c r="D50" s="38"/>
      <c r="E50" s="34"/>
      <c r="F50" s="63"/>
      <c r="G50" s="65"/>
      <c r="H50" s="65"/>
      <c r="I50" s="66"/>
      <c r="J50" s="63"/>
      <c r="K50" s="65"/>
      <c r="L50" s="65"/>
      <c r="M50" s="66"/>
      <c r="N50" s="63"/>
      <c r="O50" s="65"/>
      <c r="P50" s="65"/>
      <c r="Q50" s="66"/>
      <c r="R50" s="63"/>
      <c r="S50" s="65"/>
      <c r="T50" s="65"/>
      <c r="U50" s="66"/>
      <c r="V50" s="63"/>
      <c r="W50" s="65"/>
      <c r="X50" s="65"/>
      <c r="Y50" s="66"/>
      <c r="Z50" s="63"/>
      <c r="AA50" s="65"/>
      <c r="AB50" s="65"/>
      <c r="AC50" s="66"/>
      <c r="AD50" s="63"/>
      <c r="AE50" s="65"/>
      <c r="AF50" s="65"/>
      <c r="AG50" s="66"/>
      <c r="AH50" s="63"/>
      <c r="AI50" s="65"/>
      <c r="AJ50" s="65"/>
      <c r="AK50" s="66"/>
      <c r="AL50" s="63"/>
      <c r="AM50" s="65"/>
      <c r="AN50" s="65"/>
      <c r="AO50" s="66"/>
      <c r="AP50" s="63"/>
      <c r="AQ50" s="65"/>
      <c r="AR50" s="65"/>
      <c r="AS50" s="66"/>
      <c r="AT50" s="63"/>
      <c r="AU50" s="65"/>
      <c r="AV50" s="65"/>
      <c r="AW50" s="66"/>
      <c r="AX50" s="63"/>
      <c r="AY50" s="65"/>
      <c r="AZ50" s="65"/>
      <c r="BA50" s="66"/>
      <c r="BB50" s="63"/>
      <c r="BC50" s="65"/>
      <c r="BD50" s="65"/>
      <c r="BE50" s="66"/>
      <c r="BF50" s="63"/>
      <c r="BG50" s="65"/>
      <c r="BH50" s="65"/>
      <c r="BI50" s="66"/>
      <c r="BJ50" s="63"/>
      <c r="BK50" s="65"/>
      <c r="BL50" s="65"/>
      <c r="BM50" s="66"/>
      <c r="BN50" s="63"/>
      <c r="BO50" s="65"/>
      <c r="BP50" s="65"/>
      <c r="BQ50" s="66"/>
      <c r="BR50" s="63"/>
      <c r="BS50" s="65"/>
      <c r="BT50" s="65"/>
      <c r="BU50" s="66"/>
      <c r="BV50" s="63"/>
      <c r="BW50" s="65"/>
      <c r="BX50" s="65"/>
      <c r="BY50" s="66"/>
      <c r="BZ50" s="63"/>
      <c r="CA50" s="65"/>
      <c r="CB50" s="65"/>
      <c r="CC50" s="66"/>
      <c r="CD50" s="63"/>
      <c r="CE50" s="65"/>
      <c r="CF50" s="65"/>
      <c r="CG50" s="66"/>
      <c r="CH50" s="34"/>
      <c r="CI50" s="39"/>
      <c r="CJ50" s="40"/>
      <c r="CK50" s="39"/>
      <c r="CL50" s="39"/>
      <c r="CM50" s="39"/>
      <c r="CN50" s="39"/>
      <c r="CO50" s="39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</row>
    <row r="51" spans="1:121" ht="30" customHeight="1">
      <c r="A51" s="34"/>
      <c r="B51" s="37"/>
      <c r="C51" s="37"/>
      <c r="D51" s="38"/>
      <c r="E51" s="34"/>
      <c r="F51" s="63"/>
      <c r="G51" s="65"/>
      <c r="H51" s="65"/>
      <c r="I51" s="66"/>
      <c r="J51" s="63"/>
      <c r="K51" s="65"/>
      <c r="L51" s="65"/>
      <c r="M51" s="66"/>
      <c r="N51" s="63"/>
      <c r="O51" s="65"/>
      <c r="P51" s="65"/>
      <c r="Q51" s="66"/>
      <c r="R51" s="63"/>
      <c r="S51" s="65"/>
      <c r="T51" s="65"/>
      <c r="U51" s="66"/>
      <c r="V51" s="63"/>
      <c r="W51" s="65"/>
      <c r="X51" s="65"/>
      <c r="Y51" s="66"/>
      <c r="Z51" s="63"/>
      <c r="AA51" s="65"/>
      <c r="AB51" s="65"/>
      <c r="AC51" s="66"/>
      <c r="AD51" s="63"/>
      <c r="AE51" s="65"/>
      <c r="AF51" s="65"/>
      <c r="AG51" s="66"/>
      <c r="AH51" s="63"/>
      <c r="AI51" s="65"/>
      <c r="AJ51" s="65"/>
      <c r="AK51" s="66"/>
      <c r="AL51" s="63"/>
      <c r="AM51" s="65"/>
      <c r="AN51" s="65"/>
      <c r="AO51" s="66"/>
      <c r="AP51" s="63"/>
      <c r="AQ51" s="65"/>
      <c r="AR51" s="65"/>
      <c r="AS51" s="66"/>
      <c r="AT51" s="63"/>
      <c r="AU51" s="65"/>
      <c r="AV51" s="65"/>
      <c r="AW51" s="66"/>
      <c r="AX51" s="63"/>
      <c r="AY51" s="65"/>
      <c r="AZ51" s="65"/>
      <c r="BA51" s="66"/>
      <c r="BB51" s="63"/>
      <c r="BC51" s="65"/>
      <c r="BD51" s="65"/>
      <c r="BE51" s="66"/>
      <c r="BF51" s="63"/>
      <c r="BG51" s="65"/>
      <c r="BH51" s="65"/>
      <c r="BI51" s="66"/>
      <c r="BJ51" s="63"/>
      <c r="BK51" s="65"/>
      <c r="BL51" s="65"/>
      <c r="BM51" s="66"/>
      <c r="BN51" s="63"/>
      <c r="BO51" s="65"/>
      <c r="BP51" s="65"/>
      <c r="BQ51" s="66"/>
      <c r="BR51" s="63"/>
      <c r="BS51" s="65"/>
      <c r="BT51" s="65"/>
      <c r="BU51" s="66"/>
      <c r="BV51" s="63"/>
      <c r="BW51" s="65"/>
      <c r="BX51" s="65"/>
      <c r="BY51" s="66"/>
      <c r="BZ51" s="63"/>
      <c r="CA51" s="65"/>
      <c r="CB51" s="65"/>
      <c r="CC51" s="66"/>
      <c r="CD51" s="63"/>
      <c r="CE51" s="65"/>
      <c r="CF51" s="65"/>
      <c r="CG51" s="66"/>
      <c r="CH51" s="34"/>
      <c r="CI51" s="39"/>
      <c r="CJ51" s="40"/>
      <c r="CK51" s="39"/>
      <c r="CL51" s="39"/>
      <c r="CM51" s="39"/>
      <c r="CN51" s="39"/>
      <c r="CO51" s="39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</row>
    <row r="52" spans="1:121" ht="30" customHeight="1">
      <c r="A52" s="34"/>
      <c r="B52" s="37"/>
      <c r="C52" s="37"/>
      <c r="D52" s="38"/>
      <c r="E52" s="34"/>
      <c r="F52" s="63"/>
      <c r="G52" s="65"/>
      <c r="H52" s="65"/>
      <c r="I52" s="66"/>
      <c r="J52" s="63"/>
      <c r="K52" s="65"/>
      <c r="L52" s="65"/>
      <c r="M52" s="66"/>
      <c r="N52" s="63"/>
      <c r="O52" s="65"/>
      <c r="P52" s="65"/>
      <c r="Q52" s="66"/>
      <c r="R52" s="63"/>
      <c r="S52" s="65"/>
      <c r="T52" s="65"/>
      <c r="U52" s="66"/>
      <c r="V52" s="63"/>
      <c r="W52" s="65"/>
      <c r="X52" s="65"/>
      <c r="Y52" s="66"/>
      <c r="Z52" s="63"/>
      <c r="AA52" s="65"/>
      <c r="AB52" s="65"/>
      <c r="AC52" s="66"/>
      <c r="AD52" s="63"/>
      <c r="AE52" s="65"/>
      <c r="AF52" s="65"/>
      <c r="AG52" s="66"/>
      <c r="AH52" s="63"/>
      <c r="AI52" s="65"/>
      <c r="AJ52" s="65"/>
      <c r="AK52" s="66"/>
      <c r="AL52" s="63"/>
      <c r="AM52" s="65"/>
      <c r="AN52" s="65"/>
      <c r="AO52" s="66"/>
      <c r="AP52" s="63"/>
      <c r="AQ52" s="65"/>
      <c r="AR52" s="65"/>
      <c r="AS52" s="66"/>
      <c r="AT52" s="63"/>
      <c r="AU52" s="65"/>
      <c r="AV52" s="65"/>
      <c r="AW52" s="66"/>
      <c r="AX52" s="63"/>
      <c r="AY52" s="65"/>
      <c r="AZ52" s="65"/>
      <c r="BA52" s="66"/>
      <c r="BB52" s="63"/>
      <c r="BC52" s="65"/>
      <c r="BD52" s="65"/>
      <c r="BE52" s="66"/>
      <c r="BF52" s="63"/>
      <c r="BG52" s="65"/>
      <c r="BH52" s="65"/>
      <c r="BI52" s="66"/>
      <c r="BJ52" s="63"/>
      <c r="BK52" s="65"/>
      <c r="BL52" s="65"/>
      <c r="BM52" s="66"/>
      <c r="BN52" s="63"/>
      <c r="BO52" s="65"/>
      <c r="BP52" s="65"/>
      <c r="BQ52" s="66"/>
      <c r="BR52" s="63"/>
      <c r="BS52" s="65"/>
      <c r="BT52" s="65"/>
      <c r="BU52" s="66"/>
      <c r="BV52" s="63"/>
      <c r="BW52" s="65"/>
      <c r="BX52" s="65"/>
      <c r="BY52" s="66"/>
      <c r="BZ52" s="63"/>
      <c r="CA52" s="65"/>
      <c r="CB52" s="65"/>
      <c r="CC52" s="66"/>
      <c r="CD52" s="63"/>
      <c r="CE52" s="65"/>
      <c r="CF52" s="65"/>
      <c r="CG52" s="66"/>
      <c r="CH52" s="34"/>
      <c r="CI52" s="39"/>
      <c r="CJ52" s="40"/>
      <c r="CK52" s="39"/>
      <c r="CL52" s="39"/>
      <c r="CM52" s="39"/>
      <c r="CN52" s="39"/>
      <c r="CO52" s="39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</row>
    <row r="53" spans="1:121" ht="30" customHeight="1">
      <c r="A53" s="34"/>
      <c r="B53" s="37"/>
      <c r="C53" s="37"/>
      <c r="D53" s="38"/>
      <c r="E53" s="34"/>
      <c r="F53" s="63"/>
      <c r="G53" s="65"/>
      <c r="H53" s="65"/>
      <c r="I53" s="66"/>
      <c r="J53" s="63"/>
      <c r="K53" s="65"/>
      <c r="L53" s="65"/>
      <c r="M53" s="66"/>
      <c r="N53" s="63"/>
      <c r="O53" s="65"/>
      <c r="P53" s="65"/>
      <c r="Q53" s="66"/>
      <c r="R53" s="63"/>
      <c r="S53" s="65"/>
      <c r="T53" s="65"/>
      <c r="U53" s="66"/>
      <c r="V53" s="63"/>
      <c r="W53" s="65"/>
      <c r="X53" s="65"/>
      <c r="Y53" s="66"/>
      <c r="Z53" s="63"/>
      <c r="AA53" s="65"/>
      <c r="AB53" s="65"/>
      <c r="AC53" s="66"/>
      <c r="AD53" s="63"/>
      <c r="AE53" s="65"/>
      <c r="AF53" s="65"/>
      <c r="AG53" s="66"/>
      <c r="AH53" s="63"/>
      <c r="AI53" s="65"/>
      <c r="AJ53" s="65"/>
      <c r="AK53" s="66"/>
      <c r="AL53" s="63"/>
      <c r="AM53" s="65"/>
      <c r="AN53" s="65"/>
      <c r="AO53" s="66"/>
      <c r="AP53" s="63"/>
      <c r="AQ53" s="65"/>
      <c r="AR53" s="65"/>
      <c r="AS53" s="66"/>
      <c r="AT53" s="63"/>
      <c r="AU53" s="65"/>
      <c r="AV53" s="65"/>
      <c r="AW53" s="66"/>
      <c r="AX53" s="63"/>
      <c r="AY53" s="65"/>
      <c r="AZ53" s="65"/>
      <c r="BA53" s="66"/>
      <c r="BB53" s="63"/>
      <c r="BC53" s="65"/>
      <c r="BD53" s="65"/>
      <c r="BE53" s="66"/>
      <c r="BF53" s="63"/>
      <c r="BG53" s="65"/>
      <c r="BH53" s="65"/>
      <c r="BI53" s="66"/>
      <c r="BJ53" s="63"/>
      <c r="BK53" s="65"/>
      <c r="BL53" s="65"/>
      <c r="BM53" s="66"/>
      <c r="BN53" s="63"/>
      <c r="BO53" s="65"/>
      <c r="BP53" s="65"/>
      <c r="BQ53" s="66"/>
      <c r="BR53" s="63"/>
      <c r="BS53" s="65"/>
      <c r="BT53" s="65"/>
      <c r="BU53" s="66"/>
      <c r="BV53" s="63"/>
      <c r="BW53" s="65"/>
      <c r="BX53" s="65"/>
      <c r="BY53" s="66"/>
      <c r="BZ53" s="63"/>
      <c r="CA53" s="65"/>
      <c r="CB53" s="65"/>
      <c r="CC53" s="66"/>
      <c r="CD53" s="63"/>
      <c r="CE53" s="65"/>
      <c r="CF53" s="65"/>
      <c r="CG53" s="66"/>
      <c r="CH53" s="34"/>
      <c r="CI53" s="39"/>
      <c r="CJ53" s="40"/>
      <c r="CK53" s="39"/>
      <c r="CL53" s="39"/>
      <c r="CM53" s="39"/>
      <c r="CN53" s="39"/>
      <c r="CO53" s="39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</row>
    <row r="54" spans="1:121" ht="30" customHeight="1">
      <c r="A54" s="34"/>
      <c r="B54" s="37"/>
      <c r="C54" s="37"/>
      <c r="D54" s="38"/>
      <c r="E54" s="34"/>
      <c r="F54" s="63"/>
      <c r="G54" s="65"/>
      <c r="H54" s="65"/>
      <c r="I54" s="66"/>
      <c r="J54" s="63"/>
      <c r="K54" s="65"/>
      <c r="L54" s="65"/>
      <c r="M54" s="66"/>
      <c r="N54" s="63"/>
      <c r="O54" s="65"/>
      <c r="P54" s="65"/>
      <c r="Q54" s="66"/>
      <c r="R54" s="63"/>
      <c r="S54" s="65"/>
      <c r="T54" s="65"/>
      <c r="U54" s="66"/>
      <c r="V54" s="63"/>
      <c r="W54" s="65"/>
      <c r="X54" s="65"/>
      <c r="Y54" s="66"/>
      <c r="Z54" s="63"/>
      <c r="AA54" s="65"/>
      <c r="AB54" s="65"/>
      <c r="AC54" s="66"/>
      <c r="AD54" s="63"/>
      <c r="AE54" s="65"/>
      <c r="AF54" s="65"/>
      <c r="AG54" s="66"/>
      <c r="AH54" s="63"/>
      <c r="AI54" s="65"/>
      <c r="AJ54" s="65"/>
      <c r="AK54" s="66"/>
      <c r="AL54" s="63"/>
      <c r="AM54" s="65"/>
      <c r="AN54" s="65"/>
      <c r="AO54" s="66"/>
      <c r="AP54" s="63"/>
      <c r="AQ54" s="65"/>
      <c r="AR54" s="65"/>
      <c r="AS54" s="66"/>
      <c r="AT54" s="63"/>
      <c r="AU54" s="65"/>
      <c r="AV54" s="65"/>
      <c r="AW54" s="66"/>
      <c r="AX54" s="63"/>
      <c r="AY54" s="65"/>
      <c r="AZ54" s="65"/>
      <c r="BA54" s="66"/>
      <c r="BB54" s="63"/>
      <c r="BC54" s="65"/>
      <c r="BD54" s="65"/>
      <c r="BE54" s="66"/>
      <c r="BF54" s="63"/>
      <c r="BG54" s="65"/>
      <c r="BH54" s="65"/>
      <c r="BI54" s="66"/>
      <c r="BJ54" s="63"/>
      <c r="BK54" s="65"/>
      <c r="BL54" s="65"/>
      <c r="BM54" s="66"/>
      <c r="BN54" s="63"/>
      <c r="BO54" s="65"/>
      <c r="BP54" s="65"/>
      <c r="BQ54" s="66"/>
      <c r="BR54" s="63"/>
      <c r="BS54" s="65"/>
      <c r="BT54" s="65"/>
      <c r="BU54" s="66"/>
      <c r="BV54" s="63"/>
      <c r="BW54" s="65"/>
      <c r="BX54" s="65"/>
      <c r="BY54" s="66"/>
      <c r="BZ54" s="63"/>
      <c r="CA54" s="65"/>
      <c r="CB54" s="65"/>
      <c r="CC54" s="66"/>
      <c r="CD54" s="63"/>
      <c r="CE54" s="65"/>
      <c r="CF54" s="65"/>
      <c r="CG54" s="66"/>
      <c r="CH54" s="34"/>
      <c r="CI54" s="39"/>
      <c r="CJ54" s="40"/>
      <c r="CK54" s="39"/>
      <c r="CL54" s="39"/>
      <c r="CM54" s="39"/>
      <c r="CN54" s="39"/>
      <c r="CO54" s="39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</row>
    <row r="55" spans="1:121" ht="30" customHeight="1">
      <c r="A55" s="34"/>
      <c r="B55" s="37"/>
      <c r="C55" s="37"/>
      <c r="D55" s="38"/>
      <c r="E55" s="34"/>
      <c r="F55" s="63"/>
      <c r="G55" s="65"/>
      <c r="H55" s="65"/>
      <c r="I55" s="66"/>
      <c r="J55" s="63"/>
      <c r="K55" s="65"/>
      <c r="L55" s="65"/>
      <c r="M55" s="66"/>
      <c r="N55" s="63"/>
      <c r="O55" s="65"/>
      <c r="P55" s="65"/>
      <c r="Q55" s="66"/>
      <c r="R55" s="63"/>
      <c r="S55" s="65"/>
      <c r="T55" s="65"/>
      <c r="U55" s="66"/>
      <c r="V55" s="63"/>
      <c r="W55" s="65"/>
      <c r="X55" s="65"/>
      <c r="Y55" s="66"/>
      <c r="Z55" s="63"/>
      <c r="AA55" s="65"/>
      <c r="AB55" s="65"/>
      <c r="AC55" s="66"/>
      <c r="AD55" s="63"/>
      <c r="AE55" s="65"/>
      <c r="AF55" s="65"/>
      <c r="AG55" s="66"/>
      <c r="AH55" s="63"/>
      <c r="AI55" s="65"/>
      <c r="AJ55" s="65"/>
      <c r="AK55" s="66"/>
      <c r="AL55" s="63"/>
      <c r="AM55" s="65"/>
      <c r="AN55" s="65"/>
      <c r="AO55" s="66"/>
      <c r="AP55" s="63"/>
      <c r="AQ55" s="65"/>
      <c r="AR55" s="65"/>
      <c r="AS55" s="66"/>
      <c r="AT55" s="63"/>
      <c r="AU55" s="65"/>
      <c r="AV55" s="65"/>
      <c r="AW55" s="66"/>
      <c r="AX55" s="63"/>
      <c r="AY55" s="65"/>
      <c r="AZ55" s="65"/>
      <c r="BA55" s="66"/>
      <c r="BB55" s="63"/>
      <c r="BC55" s="65"/>
      <c r="BD55" s="65"/>
      <c r="BE55" s="66"/>
      <c r="BF55" s="63"/>
      <c r="BG55" s="65"/>
      <c r="BH55" s="65"/>
      <c r="BI55" s="66"/>
      <c r="BJ55" s="63"/>
      <c r="BK55" s="65"/>
      <c r="BL55" s="65"/>
      <c r="BM55" s="66"/>
      <c r="BN55" s="63"/>
      <c r="BO55" s="65"/>
      <c r="BP55" s="65"/>
      <c r="BQ55" s="66"/>
      <c r="BR55" s="63"/>
      <c r="BS55" s="65"/>
      <c r="BT55" s="65"/>
      <c r="BU55" s="66"/>
      <c r="BV55" s="63"/>
      <c r="BW55" s="65"/>
      <c r="BX55" s="65"/>
      <c r="BY55" s="66"/>
      <c r="BZ55" s="63"/>
      <c r="CA55" s="65"/>
      <c r="CB55" s="65"/>
      <c r="CC55" s="66"/>
      <c r="CD55" s="63"/>
      <c r="CE55" s="65"/>
      <c r="CF55" s="65"/>
      <c r="CG55" s="66"/>
      <c r="CH55" s="34"/>
      <c r="CI55" s="39"/>
      <c r="CJ55" s="40"/>
      <c r="CK55" s="39"/>
      <c r="CL55" s="39"/>
      <c r="CM55" s="39"/>
      <c r="CN55" s="39"/>
      <c r="CO55" s="39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</row>
    <row r="56" spans="1:121" ht="30" customHeight="1">
      <c r="A56" s="34"/>
      <c r="B56" s="37"/>
      <c r="C56" s="37"/>
      <c r="D56" s="38"/>
      <c r="E56" s="34"/>
      <c r="F56" s="63"/>
      <c r="G56" s="65"/>
      <c r="H56" s="65"/>
      <c r="I56" s="66"/>
      <c r="J56" s="63"/>
      <c r="K56" s="65"/>
      <c r="L56" s="65"/>
      <c r="M56" s="66"/>
      <c r="N56" s="63"/>
      <c r="O56" s="65"/>
      <c r="P56" s="65"/>
      <c r="Q56" s="66"/>
      <c r="R56" s="63"/>
      <c r="S56" s="65"/>
      <c r="T56" s="65"/>
      <c r="U56" s="66"/>
      <c r="V56" s="63"/>
      <c r="W56" s="65"/>
      <c r="X56" s="65"/>
      <c r="Y56" s="66"/>
      <c r="Z56" s="63"/>
      <c r="AA56" s="65"/>
      <c r="AB56" s="65"/>
      <c r="AC56" s="66"/>
      <c r="AD56" s="63"/>
      <c r="AE56" s="65"/>
      <c r="AF56" s="65"/>
      <c r="AG56" s="66"/>
      <c r="AH56" s="63"/>
      <c r="AI56" s="65"/>
      <c r="AJ56" s="65"/>
      <c r="AK56" s="66"/>
      <c r="AL56" s="63"/>
      <c r="AM56" s="65"/>
      <c r="AN56" s="65"/>
      <c r="AO56" s="66"/>
      <c r="AP56" s="63"/>
      <c r="AQ56" s="65"/>
      <c r="AR56" s="65"/>
      <c r="AS56" s="66"/>
      <c r="AT56" s="63"/>
      <c r="AU56" s="65"/>
      <c r="AV56" s="65"/>
      <c r="AW56" s="66"/>
      <c r="AX56" s="63"/>
      <c r="AY56" s="65"/>
      <c r="AZ56" s="65"/>
      <c r="BA56" s="66"/>
      <c r="BB56" s="63"/>
      <c r="BC56" s="65"/>
      <c r="BD56" s="65"/>
      <c r="BE56" s="66"/>
      <c r="BF56" s="63"/>
      <c r="BG56" s="65"/>
      <c r="BH56" s="65"/>
      <c r="BI56" s="66"/>
      <c r="BJ56" s="63"/>
      <c r="BK56" s="65"/>
      <c r="BL56" s="65"/>
      <c r="BM56" s="66"/>
      <c r="BN56" s="63"/>
      <c r="BO56" s="65"/>
      <c r="BP56" s="65"/>
      <c r="BQ56" s="66"/>
      <c r="BR56" s="63"/>
      <c r="BS56" s="65"/>
      <c r="BT56" s="65"/>
      <c r="BU56" s="66"/>
      <c r="BV56" s="63"/>
      <c r="BW56" s="65"/>
      <c r="BX56" s="65"/>
      <c r="BY56" s="66"/>
      <c r="BZ56" s="63"/>
      <c r="CA56" s="65"/>
      <c r="CB56" s="65"/>
      <c r="CC56" s="66"/>
      <c r="CD56" s="63"/>
      <c r="CE56" s="65"/>
      <c r="CF56" s="65"/>
      <c r="CG56" s="66"/>
      <c r="CH56" s="34"/>
      <c r="CI56" s="39"/>
      <c r="CJ56" s="40"/>
      <c r="CK56" s="39"/>
      <c r="CL56" s="39"/>
      <c r="CM56" s="39"/>
      <c r="CN56" s="39"/>
      <c r="CO56" s="39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</row>
    <row r="57" spans="1:121" ht="30" customHeight="1">
      <c r="A57" s="34"/>
      <c r="B57" s="37"/>
      <c r="C57" s="37"/>
      <c r="D57" s="38"/>
      <c r="E57" s="34"/>
      <c r="F57" s="63"/>
      <c r="G57" s="65"/>
      <c r="H57" s="65"/>
      <c r="I57" s="66"/>
      <c r="J57" s="63"/>
      <c r="K57" s="65"/>
      <c r="L57" s="65"/>
      <c r="M57" s="66"/>
      <c r="N57" s="63"/>
      <c r="O57" s="65"/>
      <c r="P57" s="65"/>
      <c r="Q57" s="66"/>
      <c r="R57" s="63"/>
      <c r="S57" s="65"/>
      <c r="T57" s="65"/>
      <c r="U57" s="66"/>
      <c r="V57" s="63"/>
      <c r="W57" s="65"/>
      <c r="X57" s="65"/>
      <c r="Y57" s="66"/>
      <c r="Z57" s="63"/>
      <c r="AA57" s="65"/>
      <c r="AB57" s="65"/>
      <c r="AC57" s="66"/>
      <c r="AD57" s="63"/>
      <c r="AE57" s="65"/>
      <c r="AF57" s="65"/>
      <c r="AG57" s="66"/>
      <c r="AH57" s="63"/>
      <c r="AI57" s="65"/>
      <c r="AJ57" s="65"/>
      <c r="AK57" s="66"/>
      <c r="AL57" s="63"/>
      <c r="AM57" s="65"/>
      <c r="AN57" s="65"/>
      <c r="AO57" s="66"/>
      <c r="AP57" s="63"/>
      <c r="AQ57" s="65"/>
      <c r="AR57" s="65"/>
      <c r="AS57" s="66"/>
      <c r="AT57" s="63"/>
      <c r="AU57" s="65"/>
      <c r="AV57" s="65"/>
      <c r="AW57" s="66"/>
      <c r="AX57" s="63"/>
      <c r="AY57" s="65"/>
      <c r="AZ57" s="65"/>
      <c r="BA57" s="66"/>
      <c r="BB57" s="63"/>
      <c r="BC57" s="65"/>
      <c r="BD57" s="65"/>
      <c r="BE57" s="66"/>
      <c r="BF57" s="63"/>
      <c r="BG57" s="65"/>
      <c r="BH57" s="65"/>
      <c r="BI57" s="66"/>
      <c r="BJ57" s="63"/>
      <c r="BK57" s="65"/>
      <c r="BL57" s="65"/>
      <c r="BM57" s="66"/>
      <c r="BN57" s="63"/>
      <c r="BO57" s="65"/>
      <c r="BP57" s="65"/>
      <c r="BQ57" s="66"/>
      <c r="BR57" s="63"/>
      <c r="BS57" s="65"/>
      <c r="BT57" s="65"/>
      <c r="BU57" s="66"/>
      <c r="BV57" s="63"/>
      <c r="BW57" s="65"/>
      <c r="BX57" s="65"/>
      <c r="BY57" s="66"/>
      <c r="BZ57" s="63"/>
      <c r="CA57" s="65"/>
      <c r="CB57" s="65"/>
      <c r="CC57" s="66"/>
      <c r="CD57" s="63"/>
      <c r="CE57" s="65"/>
      <c r="CF57" s="65"/>
      <c r="CG57" s="66"/>
      <c r="CH57" s="34"/>
      <c r="CI57" s="39"/>
      <c r="CJ57" s="40"/>
      <c r="CK57" s="39"/>
      <c r="CL57" s="39"/>
      <c r="CM57" s="39"/>
      <c r="CN57" s="39"/>
      <c r="CO57" s="39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</row>
    <row r="58" spans="1:121" ht="30" customHeight="1">
      <c r="A58" s="34"/>
      <c r="B58" s="37"/>
      <c r="C58" s="37"/>
      <c r="D58" s="38"/>
      <c r="E58" s="34"/>
      <c r="F58" s="63"/>
      <c r="G58" s="65"/>
      <c r="H58" s="65"/>
      <c r="I58" s="66"/>
      <c r="J58" s="63"/>
      <c r="K58" s="65"/>
      <c r="L58" s="65"/>
      <c r="M58" s="66"/>
      <c r="N58" s="63"/>
      <c r="O58" s="65"/>
      <c r="P58" s="65"/>
      <c r="Q58" s="66"/>
      <c r="R58" s="63"/>
      <c r="S58" s="65"/>
      <c r="T58" s="65"/>
      <c r="U58" s="66"/>
      <c r="V58" s="63"/>
      <c r="W58" s="65"/>
      <c r="X58" s="65"/>
      <c r="Y58" s="66"/>
      <c r="Z58" s="63"/>
      <c r="AA58" s="65"/>
      <c r="AB58" s="65"/>
      <c r="AC58" s="66"/>
      <c r="AD58" s="63"/>
      <c r="AE58" s="65"/>
      <c r="AF58" s="65"/>
      <c r="AG58" s="66"/>
      <c r="AH58" s="63"/>
      <c r="AI58" s="65"/>
      <c r="AJ58" s="65"/>
      <c r="AK58" s="66"/>
      <c r="AL58" s="63"/>
      <c r="AM58" s="65"/>
      <c r="AN58" s="65"/>
      <c r="AO58" s="66"/>
      <c r="AP58" s="63"/>
      <c r="AQ58" s="65"/>
      <c r="AR58" s="65"/>
      <c r="AS58" s="66"/>
      <c r="AT58" s="63"/>
      <c r="AU58" s="65"/>
      <c r="AV58" s="65"/>
      <c r="AW58" s="66"/>
      <c r="AX58" s="63"/>
      <c r="AY58" s="65"/>
      <c r="AZ58" s="65"/>
      <c r="BA58" s="66"/>
      <c r="BB58" s="63"/>
      <c r="BC58" s="65"/>
      <c r="BD58" s="65"/>
      <c r="BE58" s="66"/>
      <c r="BF58" s="63"/>
      <c r="BG58" s="65"/>
      <c r="BH58" s="65"/>
      <c r="BI58" s="66"/>
      <c r="BJ58" s="63"/>
      <c r="BK58" s="65"/>
      <c r="BL58" s="65"/>
      <c r="BM58" s="66"/>
      <c r="BN58" s="63"/>
      <c r="BO58" s="65"/>
      <c r="BP58" s="65"/>
      <c r="BQ58" s="66"/>
      <c r="BR58" s="63"/>
      <c r="BS58" s="65"/>
      <c r="BT58" s="65"/>
      <c r="BU58" s="66"/>
      <c r="BV58" s="63"/>
      <c r="BW58" s="65"/>
      <c r="BX58" s="65"/>
      <c r="BY58" s="66"/>
      <c r="BZ58" s="63"/>
      <c r="CA58" s="65"/>
      <c r="CB58" s="65"/>
      <c r="CC58" s="66"/>
      <c r="CD58" s="63"/>
      <c r="CE58" s="65"/>
      <c r="CF58" s="65"/>
      <c r="CG58" s="66"/>
      <c r="CH58" s="34"/>
      <c r="CI58" s="39"/>
      <c r="CJ58" s="40"/>
      <c r="CK58" s="39"/>
      <c r="CL58" s="39"/>
      <c r="CM58" s="39"/>
      <c r="CN58" s="39"/>
      <c r="CO58" s="39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</row>
    <row r="59" spans="1:121" ht="30" customHeight="1">
      <c r="A59" s="34"/>
      <c r="B59" s="37"/>
      <c r="C59" s="37"/>
      <c r="D59" s="38"/>
      <c r="E59" s="34"/>
      <c r="F59" s="63"/>
      <c r="G59" s="65"/>
      <c r="H59" s="65"/>
      <c r="I59" s="66"/>
      <c r="J59" s="63"/>
      <c r="K59" s="65"/>
      <c r="L59" s="65"/>
      <c r="M59" s="66"/>
      <c r="N59" s="63"/>
      <c r="O59" s="65"/>
      <c r="P59" s="65"/>
      <c r="Q59" s="66"/>
      <c r="R59" s="63"/>
      <c r="S59" s="65"/>
      <c r="T59" s="65"/>
      <c r="U59" s="66"/>
      <c r="V59" s="63"/>
      <c r="W59" s="65"/>
      <c r="X59" s="65"/>
      <c r="Y59" s="66"/>
      <c r="Z59" s="63"/>
      <c r="AA59" s="65"/>
      <c r="AB59" s="65"/>
      <c r="AC59" s="66"/>
      <c r="AD59" s="63"/>
      <c r="AE59" s="65"/>
      <c r="AF59" s="65"/>
      <c r="AG59" s="66"/>
      <c r="AH59" s="63"/>
      <c r="AI59" s="65"/>
      <c r="AJ59" s="65"/>
      <c r="AK59" s="66"/>
      <c r="AL59" s="63"/>
      <c r="AM59" s="65"/>
      <c r="AN59" s="65"/>
      <c r="AO59" s="66"/>
      <c r="AP59" s="63"/>
      <c r="AQ59" s="65"/>
      <c r="AR59" s="65"/>
      <c r="AS59" s="66"/>
      <c r="AT59" s="63"/>
      <c r="AU59" s="65"/>
      <c r="AV59" s="65"/>
      <c r="AW59" s="66"/>
      <c r="AX59" s="63"/>
      <c r="AY59" s="65"/>
      <c r="AZ59" s="65"/>
      <c r="BA59" s="66"/>
      <c r="BB59" s="63"/>
      <c r="BC59" s="65"/>
      <c r="BD59" s="65"/>
      <c r="BE59" s="66"/>
      <c r="BF59" s="63"/>
      <c r="BG59" s="65"/>
      <c r="BH59" s="65"/>
      <c r="BI59" s="66"/>
      <c r="BJ59" s="63"/>
      <c r="BK59" s="65"/>
      <c r="BL59" s="65"/>
      <c r="BM59" s="66"/>
      <c r="BN59" s="63"/>
      <c r="BO59" s="65"/>
      <c r="BP59" s="65"/>
      <c r="BQ59" s="66"/>
      <c r="BR59" s="63"/>
      <c r="BS59" s="65"/>
      <c r="BT59" s="65"/>
      <c r="BU59" s="66"/>
      <c r="BV59" s="63"/>
      <c r="BW59" s="65"/>
      <c r="BX59" s="65"/>
      <c r="BY59" s="66"/>
      <c r="BZ59" s="63"/>
      <c r="CA59" s="65"/>
      <c r="CB59" s="65"/>
      <c r="CC59" s="66"/>
      <c r="CD59" s="63"/>
      <c r="CE59" s="65"/>
      <c r="CF59" s="65"/>
      <c r="CG59" s="66"/>
      <c r="CH59" s="34"/>
      <c r="CI59" s="39"/>
      <c r="CJ59" s="40"/>
      <c r="CK59" s="39"/>
      <c r="CL59" s="39"/>
      <c r="CM59" s="39"/>
      <c r="CN59" s="39"/>
      <c r="CO59" s="39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</row>
    <row r="60" spans="1:121" ht="30" customHeight="1">
      <c r="A60" s="34"/>
      <c r="B60" s="37"/>
      <c r="C60" s="37"/>
      <c r="D60" s="38"/>
      <c r="E60" s="34"/>
      <c r="F60" s="63"/>
      <c r="G60" s="65"/>
      <c r="H60" s="65"/>
      <c r="I60" s="66"/>
      <c r="J60" s="63"/>
      <c r="K60" s="65"/>
      <c r="L60" s="65"/>
      <c r="M60" s="66"/>
      <c r="N60" s="63"/>
      <c r="O60" s="65"/>
      <c r="P60" s="65"/>
      <c r="Q60" s="66"/>
      <c r="R60" s="63"/>
      <c r="S60" s="65"/>
      <c r="T60" s="65"/>
      <c r="U60" s="66"/>
      <c r="V60" s="63"/>
      <c r="W60" s="65"/>
      <c r="X60" s="65"/>
      <c r="Y60" s="66"/>
      <c r="Z60" s="63"/>
      <c r="AA60" s="65"/>
      <c r="AB60" s="65"/>
      <c r="AC60" s="66"/>
      <c r="AD60" s="63"/>
      <c r="AE60" s="65"/>
      <c r="AF60" s="65"/>
      <c r="AG60" s="66"/>
      <c r="AH60" s="63"/>
      <c r="AI60" s="65"/>
      <c r="AJ60" s="65"/>
      <c r="AK60" s="66"/>
      <c r="AL60" s="63"/>
      <c r="AM60" s="65"/>
      <c r="AN60" s="65"/>
      <c r="AO60" s="66"/>
      <c r="AP60" s="63"/>
      <c r="AQ60" s="65"/>
      <c r="AR60" s="65"/>
      <c r="AS60" s="66"/>
      <c r="AT60" s="63"/>
      <c r="AU60" s="65"/>
      <c r="AV60" s="65"/>
      <c r="AW60" s="66"/>
      <c r="AX60" s="63"/>
      <c r="AY60" s="65"/>
      <c r="AZ60" s="65"/>
      <c r="BA60" s="66"/>
      <c r="BB60" s="63"/>
      <c r="BC60" s="65"/>
      <c r="BD60" s="65"/>
      <c r="BE60" s="66"/>
      <c r="BF60" s="63"/>
      <c r="BG60" s="65"/>
      <c r="BH60" s="65"/>
      <c r="BI60" s="66"/>
      <c r="BJ60" s="63"/>
      <c r="BK60" s="65"/>
      <c r="BL60" s="65"/>
      <c r="BM60" s="66"/>
      <c r="BN60" s="63"/>
      <c r="BO60" s="65"/>
      <c r="BP60" s="65"/>
      <c r="BQ60" s="66"/>
      <c r="BR60" s="63"/>
      <c r="BS60" s="65"/>
      <c r="BT60" s="65"/>
      <c r="BU60" s="66"/>
      <c r="BV60" s="63"/>
      <c r="BW60" s="65"/>
      <c r="BX60" s="65"/>
      <c r="BY60" s="66"/>
      <c r="BZ60" s="63"/>
      <c r="CA60" s="65"/>
      <c r="CB60" s="65"/>
      <c r="CC60" s="66"/>
      <c r="CD60" s="63"/>
      <c r="CE60" s="65"/>
      <c r="CF60" s="65"/>
      <c r="CG60" s="66"/>
      <c r="CH60" s="34"/>
      <c r="CI60" s="39"/>
      <c r="CJ60" s="40"/>
      <c r="CK60" s="39"/>
      <c r="CL60" s="39"/>
      <c r="CM60" s="39"/>
      <c r="CN60" s="39"/>
      <c r="CO60" s="39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</row>
    <row r="61" spans="1:121" ht="30" customHeight="1">
      <c r="A61" s="34"/>
      <c r="B61" s="37"/>
      <c r="C61" s="37"/>
      <c r="D61" s="38"/>
      <c r="E61" s="34"/>
      <c r="F61" s="63"/>
      <c r="G61" s="65"/>
      <c r="H61" s="65"/>
      <c r="I61" s="66"/>
      <c r="J61" s="63"/>
      <c r="K61" s="65"/>
      <c r="L61" s="65"/>
      <c r="M61" s="66"/>
      <c r="N61" s="63"/>
      <c r="O61" s="65"/>
      <c r="P61" s="65"/>
      <c r="Q61" s="66"/>
      <c r="R61" s="63"/>
      <c r="S61" s="65"/>
      <c r="T61" s="65"/>
      <c r="U61" s="66"/>
      <c r="V61" s="63"/>
      <c r="W61" s="65"/>
      <c r="X61" s="65"/>
      <c r="Y61" s="66"/>
      <c r="Z61" s="63"/>
      <c r="AA61" s="65"/>
      <c r="AB61" s="65"/>
      <c r="AC61" s="66"/>
      <c r="AD61" s="63"/>
      <c r="AE61" s="65"/>
      <c r="AF61" s="65"/>
      <c r="AG61" s="66"/>
      <c r="AH61" s="63"/>
      <c r="AI61" s="65"/>
      <c r="AJ61" s="65"/>
      <c r="AK61" s="66"/>
      <c r="AL61" s="63"/>
      <c r="AM61" s="65"/>
      <c r="AN61" s="65"/>
      <c r="AO61" s="66"/>
      <c r="AP61" s="63"/>
      <c r="AQ61" s="65"/>
      <c r="AR61" s="65"/>
      <c r="AS61" s="66"/>
      <c r="AT61" s="63"/>
      <c r="AU61" s="65"/>
      <c r="AV61" s="65"/>
      <c r="AW61" s="66"/>
      <c r="AX61" s="63"/>
      <c r="AY61" s="65"/>
      <c r="AZ61" s="65"/>
      <c r="BA61" s="66"/>
      <c r="BB61" s="63"/>
      <c r="BC61" s="65"/>
      <c r="BD61" s="65"/>
      <c r="BE61" s="66"/>
      <c r="BF61" s="63"/>
      <c r="BG61" s="65"/>
      <c r="BH61" s="65"/>
      <c r="BI61" s="66"/>
      <c r="BJ61" s="63"/>
      <c r="BK61" s="65"/>
      <c r="BL61" s="65"/>
      <c r="BM61" s="66"/>
      <c r="BN61" s="63"/>
      <c r="BO61" s="65"/>
      <c r="BP61" s="65"/>
      <c r="BQ61" s="66"/>
      <c r="BR61" s="63"/>
      <c r="BS61" s="65"/>
      <c r="BT61" s="65"/>
      <c r="BU61" s="66"/>
      <c r="BV61" s="63"/>
      <c r="BW61" s="65"/>
      <c r="BX61" s="65"/>
      <c r="BY61" s="66"/>
      <c r="BZ61" s="63"/>
      <c r="CA61" s="65"/>
      <c r="CB61" s="65"/>
      <c r="CC61" s="66"/>
      <c r="CD61" s="63"/>
      <c r="CE61" s="65"/>
      <c r="CF61" s="65"/>
      <c r="CG61" s="66"/>
      <c r="CH61" s="34"/>
      <c r="CI61" s="39"/>
      <c r="CJ61" s="40"/>
      <c r="CK61" s="39"/>
      <c r="CL61" s="39"/>
      <c r="CM61" s="39"/>
      <c r="CN61" s="39"/>
      <c r="CO61" s="39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</row>
    <row r="62" spans="1:121" ht="30" customHeight="1">
      <c r="A62" s="34"/>
      <c r="B62" s="37"/>
      <c r="C62" s="37"/>
      <c r="D62" s="38"/>
      <c r="E62" s="34"/>
      <c r="F62" s="63"/>
      <c r="G62" s="65"/>
      <c r="H62" s="65"/>
      <c r="I62" s="66"/>
      <c r="J62" s="63"/>
      <c r="K62" s="65"/>
      <c r="L62" s="65"/>
      <c r="M62" s="66"/>
      <c r="N62" s="63"/>
      <c r="O62" s="65"/>
      <c r="P62" s="65"/>
      <c r="Q62" s="66"/>
      <c r="R62" s="63"/>
      <c r="S62" s="65"/>
      <c r="T62" s="65"/>
      <c r="U62" s="66"/>
      <c r="V62" s="63"/>
      <c r="W62" s="65"/>
      <c r="X62" s="65"/>
      <c r="Y62" s="66"/>
      <c r="Z62" s="63"/>
      <c r="AA62" s="65"/>
      <c r="AB62" s="65"/>
      <c r="AC62" s="66"/>
      <c r="AD62" s="63"/>
      <c r="AE62" s="65"/>
      <c r="AF62" s="65"/>
      <c r="AG62" s="66"/>
      <c r="AH62" s="63"/>
      <c r="AI62" s="65"/>
      <c r="AJ62" s="65"/>
      <c r="AK62" s="66"/>
      <c r="AL62" s="63"/>
      <c r="AM62" s="65"/>
      <c r="AN62" s="65"/>
      <c r="AO62" s="66"/>
      <c r="AP62" s="63"/>
      <c r="AQ62" s="65"/>
      <c r="AR62" s="65"/>
      <c r="AS62" s="66"/>
      <c r="AT62" s="63"/>
      <c r="AU62" s="65"/>
      <c r="AV62" s="65"/>
      <c r="AW62" s="66"/>
      <c r="AX62" s="63"/>
      <c r="AY62" s="65"/>
      <c r="AZ62" s="65"/>
      <c r="BA62" s="66"/>
      <c r="BB62" s="63"/>
      <c r="BC62" s="65"/>
      <c r="BD62" s="65"/>
      <c r="BE62" s="66"/>
      <c r="BF62" s="63"/>
      <c r="BG62" s="65"/>
      <c r="BH62" s="65"/>
      <c r="BI62" s="66"/>
      <c r="BJ62" s="63"/>
      <c r="BK62" s="65"/>
      <c r="BL62" s="65"/>
      <c r="BM62" s="66"/>
      <c r="BN62" s="63"/>
      <c r="BO62" s="65"/>
      <c r="BP62" s="65"/>
      <c r="BQ62" s="66"/>
      <c r="BR62" s="63"/>
      <c r="BS62" s="65"/>
      <c r="BT62" s="65"/>
      <c r="BU62" s="66"/>
      <c r="BV62" s="63"/>
      <c r="BW62" s="65"/>
      <c r="BX62" s="65"/>
      <c r="BY62" s="66"/>
      <c r="BZ62" s="63"/>
      <c r="CA62" s="65"/>
      <c r="CB62" s="65"/>
      <c r="CC62" s="66"/>
      <c r="CD62" s="63"/>
      <c r="CE62" s="65"/>
      <c r="CF62" s="65"/>
      <c r="CG62" s="66"/>
      <c r="CH62" s="34"/>
      <c r="CI62" s="39"/>
      <c r="CJ62" s="40"/>
      <c r="CK62" s="39"/>
      <c r="CL62" s="39"/>
      <c r="CM62" s="39"/>
      <c r="CN62" s="39"/>
      <c r="CO62" s="39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</row>
    <row r="63" spans="1:121" ht="30" customHeight="1">
      <c r="A63" s="34"/>
      <c r="B63" s="37"/>
      <c r="C63" s="37"/>
      <c r="D63" s="38"/>
      <c r="E63" s="34"/>
      <c r="F63" s="63"/>
      <c r="G63" s="65"/>
      <c r="H63" s="65"/>
      <c r="I63" s="66"/>
      <c r="J63" s="63"/>
      <c r="K63" s="65"/>
      <c r="L63" s="65"/>
      <c r="M63" s="66"/>
      <c r="N63" s="63"/>
      <c r="O63" s="65"/>
      <c r="P63" s="65"/>
      <c r="Q63" s="66"/>
      <c r="R63" s="63"/>
      <c r="S63" s="65"/>
      <c r="T63" s="65"/>
      <c r="U63" s="66"/>
      <c r="V63" s="63"/>
      <c r="W63" s="65"/>
      <c r="X63" s="65"/>
      <c r="Y63" s="66"/>
      <c r="Z63" s="63"/>
      <c r="AA63" s="65"/>
      <c r="AB63" s="65"/>
      <c r="AC63" s="66"/>
      <c r="AD63" s="63"/>
      <c r="AE63" s="65"/>
      <c r="AF63" s="65"/>
      <c r="AG63" s="66"/>
      <c r="AH63" s="63"/>
      <c r="AI63" s="65"/>
      <c r="AJ63" s="65"/>
      <c r="AK63" s="66"/>
      <c r="AL63" s="63"/>
      <c r="AM63" s="65"/>
      <c r="AN63" s="65"/>
      <c r="AO63" s="66"/>
      <c r="AP63" s="63"/>
      <c r="AQ63" s="65"/>
      <c r="AR63" s="65"/>
      <c r="AS63" s="66"/>
      <c r="AT63" s="63"/>
      <c r="AU63" s="65"/>
      <c r="AV63" s="65"/>
      <c r="AW63" s="66"/>
      <c r="AX63" s="63"/>
      <c r="AY63" s="65"/>
      <c r="AZ63" s="65"/>
      <c r="BA63" s="66"/>
      <c r="BB63" s="63"/>
      <c r="BC63" s="65"/>
      <c r="BD63" s="65"/>
      <c r="BE63" s="66"/>
      <c r="BF63" s="63"/>
      <c r="BG63" s="65"/>
      <c r="BH63" s="65"/>
      <c r="BI63" s="66"/>
      <c r="BJ63" s="63"/>
      <c r="BK63" s="65"/>
      <c r="BL63" s="65"/>
      <c r="BM63" s="66"/>
      <c r="BN63" s="63"/>
      <c r="BO63" s="65"/>
      <c r="BP63" s="65"/>
      <c r="BQ63" s="66"/>
      <c r="BR63" s="63"/>
      <c r="BS63" s="65"/>
      <c r="BT63" s="65"/>
      <c r="BU63" s="66"/>
      <c r="BV63" s="63"/>
      <c r="BW63" s="65"/>
      <c r="BX63" s="65"/>
      <c r="BY63" s="66"/>
      <c r="BZ63" s="63"/>
      <c r="CA63" s="65"/>
      <c r="CB63" s="65"/>
      <c r="CC63" s="66"/>
      <c r="CD63" s="63"/>
      <c r="CE63" s="65"/>
      <c r="CF63" s="65"/>
      <c r="CG63" s="66"/>
      <c r="CH63" s="34"/>
      <c r="CI63" s="39"/>
      <c r="CJ63" s="40"/>
      <c r="CK63" s="39"/>
      <c r="CL63" s="39"/>
      <c r="CM63" s="39"/>
      <c r="CN63" s="39"/>
      <c r="CO63" s="39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</row>
    <row r="64" spans="1:121" ht="15" customHeight="1">
      <c r="A64" s="34"/>
      <c r="B64" s="34"/>
      <c r="C64" s="34"/>
      <c r="D64" s="34"/>
      <c r="E64" s="34"/>
      <c r="F64" s="41">
        <f t="array" ref="F64">SUM(IF(List1_1="+++",9*Importance1,IF(List1_1="++",3*Importance1,IF(List1_1="+",1*Importance1,IF(List1_1="-",-1*Importance1,IF(List1_1="- -",-3*Importance1,IF(List1_1="- - -",-9*Importance1,"")))))))</f>
        <v>0</v>
      </c>
      <c r="G64" s="41"/>
      <c r="H64" s="41"/>
      <c r="I64" s="41"/>
      <c r="J64" s="41">
        <f t="array" ref="J64">SUM(IF(List1_2="+++",9*Importance1,IF(List1_2="++",3*Importance1,IF(List1_2="+",1*Importance1,IF(List1_2="-",-1*Importance1,IF(List1_2="- -",-3*Importance1,IF(List1_2="- - -",-9*Importance2,"")))))))</f>
        <v>0</v>
      </c>
      <c r="K64" s="41"/>
      <c r="L64" s="41"/>
      <c r="M64" s="41"/>
      <c r="N64" s="41">
        <f t="array" ref="N64">SUM(IF(List1_3="+++",9*Importance1,IF(List1_3="++",3*Importance1,IF(List1_3="+",1*Importance1,IF(List1_3="-",-1*Importance1,IF(List1_3="- -",-3*Importance1,IF(List1_3="- - -",-9*Importance1,"")))))))</f>
        <v>0</v>
      </c>
      <c r="O64" s="41"/>
      <c r="P64" s="41"/>
      <c r="Q64" s="41"/>
      <c r="R64" s="41">
        <f t="array" ref="R64">SUM(IF(List1_4="+++",9*Importance1,IF(List1_4="++",3*Importance1,IF(List1_4="+",1*Importance1,IF(List1_4="-",-1*Importance1,IF(List1_4="- -",-3*Importance1,IF(List1_4="- - -",-9*Importance1,"")))))))</f>
        <v>0</v>
      </c>
      <c r="S64" s="41"/>
      <c r="T64" s="41"/>
      <c r="U64" s="41"/>
      <c r="V64" s="41">
        <f t="array" ref="V64">SUM(IF(List1_5="+++",9*Importance1,IF(List1_5="++",3*Importance1,IF(List1_5="+",1*Importance1,IF(List1_5="-",-1*Importance1,IF(List1_5="- -",-3*Importance1,IF(List1_5="- - -",-9*Importance1,"")))))))</f>
        <v>0</v>
      </c>
      <c r="W64" s="41"/>
      <c r="X64" s="41"/>
      <c r="Y64" s="41"/>
      <c r="Z64" s="41">
        <f t="array" ref="Z64">SUM(IF(List1_6="+++",9*Importance1,IF(List1_6="++",3*Importance1,IF(List1_6="+",1*Importance1,IF(List1_6="-",-1*Importance1,IF(List1_6="- -",-3*Importance1,IF(List1_6="- - -",-9*Importance1,"")))))))</f>
        <v>0</v>
      </c>
      <c r="AA64" s="41"/>
      <c r="AB64" s="41"/>
      <c r="AC64" s="41"/>
      <c r="AD64" s="41">
        <f t="array" ref="AD64">SUM(IF(List1_7="+++",9*Importance1,IF(List1_7="++",3*Importance1,IF(List1_7="+",1*Importance1,IF(List1_7="-",-1*Importance1,IF(List1_7="- -",-3*Importance1,IF(List1_7="- - -",-9*Importance1,"")))))))</f>
        <v>0</v>
      </c>
      <c r="AE64" s="41"/>
      <c r="AF64" s="41"/>
      <c r="AG64" s="41"/>
      <c r="AH64" s="41">
        <f t="array" ref="AH64">SUM(IF(List1_8="+++",9*Importance1,IF(List1_8="++",3*Importance1,IF(List1_8="+",1*Importance1,IF(List1_8="-",-1*Importance1,IF(List1_8="- -",-3*Importance1,IF(List1_8="- - -",-9*Importance1,"")))))))</f>
        <v>0</v>
      </c>
      <c r="AI64" s="41"/>
      <c r="AJ64" s="41"/>
      <c r="AK64" s="41"/>
      <c r="AL64" s="41">
        <f t="array" ref="AL64">SUM(IF(List1_9="+++",9*Importance1,IF(List1_9="++",3*Importance1,IF(List1_9="+",1*Importance1,IF(List1_9="-",-1*Importance1,IF(List1_9="- -",-3*Importance1,IF(List1_9="- - -",-9*Importance1,"")))))))</f>
        <v>0</v>
      </c>
      <c r="AM64" s="41"/>
      <c r="AN64" s="41"/>
      <c r="AO64" s="41"/>
      <c r="AP64" s="41">
        <f t="array" ref="AP64">SUM(IF(List1_10="+++",9*Importance1,IF(List1_10="++",3*Importance1,IF(List1_10="+",1*Importance1,IF(List1_10="-",-1*Importance1,IF(List1_10="- -",-3*Importance1,IF(List1_10="- - -",-9*Importance1,"")))))))</f>
        <v>0</v>
      </c>
      <c r="AQ64" s="41"/>
      <c r="AR64" s="41"/>
      <c r="AS64" s="41"/>
      <c r="AT64" s="41">
        <f t="array" ref="AT64">SUM(IF(List1_11="+++",9*Importance1,IF(List1_11="++",3*Importance1,IF(List1_11="+",1*Importance1,IF(List1_11="-",-1*Importance1,IF(List1_11="- -",-3*Importance1,IF(List1_11="- - -",-9*Importance1,"")))))))</f>
        <v>0</v>
      </c>
      <c r="AU64" s="41"/>
      <c r="AV64" s="41"/>
      <c r="AW64" s="41"/>
      <c r="AX64" s="41">
        <f t="array" ref="AX64">SUM(IF(List1_12="+++",9*Importance1,IF(List1_12="++",3*Importance1,IF(List1_12="+",1*Importance1,IF(List1_12="-",-1*Importance1,IF(List1_12="- -",-3*Importance1,IF(List1_12="- - -",-9*Importance1,"")))))))</f>
        <v>0</v>
      </c>
      <c r="AY64" s="41"/>
      <c r="AZ64" s="41"/>
      <c r="BA64" s="41"/>
      <c r="BB64" s="41">
        <f t="array" ref="BB64">SUM(IF(List1_13="+++",9*Importance1,IF(List1_13="++",3*Importance1,IF(List1_13="+",1*Importance1,IF(List1_13="-",-1*Importance1,IF(List1_13="- -",-3*Importance1,IF(List1_13="- - -",-9*Importance1,"")))))))</f>
        <v>0</v>
      </c>
      <c r="BC64" s="41"/>
      <c r="BD64" s="41"/>
      <c r="BE64" s="41"/>
      <c r="BF64" s="41">
        <f t="array" ref="BF64">SUM(IF(List1_14="+++",9*Importance1,IF(List1_14="++",3*Importance1,IF(List1_14="+",1*Importance1,IF(List1_14="-",-1*Importance1,IF(List1_14="- -",-3*Importance1,IF(List1_14="- - -",-9*Importance1,"")))))))</f>
        <v>0</v>
      </c>
      <c r="BG64" s="41"/>
      <c r="BH64" s="41"/>
      <c r="BI64" s="41"/>
      <c r="BJ64" s="41">
        <f t="array" ref="BJ64">SUM(IF(List1_15="+++",9*Importance1,IF(List1_15="++",3*Importance1,IF(List1_15="+",1*Importance1,IF(List1_15="-",-1*Importance1,IF(List1_15="- -",-3*Importance1,IF(List1_15="- - -",-9*Importance1,"")))))))</f>
        <v>0</v>
      </c>
      <c r="BK64" s="41"/>
      <c r="BL64" s="41"/>
      <c r="BM64" s="41"/>
      <c r="BN64" s="41">
        <f t="array" ref="BN64">SUM(IF(List1_16="+++",9*Importance1,IF(List1_16="++",3*Importance1,IF(List1_16="+",1*Importance1,IF(List1_16="-",-1*Importance1,IF(List1_16="- -",-3*Importance1,IF(List1_16="- - -",-9*Importance1,"")))))))</f>
        <v>0</v>
      </c>
      <c r="BO64" s="41"/>
      <c r="BP64" s="41"/>
      <c r="BQ64" s="41"/>
      <c r="BR64" s="41">
        <f t="array" ref="BR64">SUM(IF(List1_17="+++",9*Importance1,IF(List1_17="++",3*Importance1,IF(List1_17="+",1*Importance1,IF(List1_17="-",-1*Importance1,IF(List1_17="- -",-3*Importance1,IF(List1_17="- - -",-9*Importance1,"")))))))</f>
        <v>0</v>
      </c>
      <c r="BS64" s="41"/>
      <c r="BT64" s="41"/>
      <c r="BU64" s="41"/>
      <c r="BV64" s="41">
        <f t="array" ref="BV64">SUM(IF(List1_18="+++",9*Importance1,IF(List1_18="++",3*Importance1,IF(List1_18="+",1*Importance1,IF(List1_18="-",-1*Importance1,IF(List1_18="- -",-3*Importance1,IF(List1_18="- - -",-9*Importance1,"")))))))</f>
        <v>0</v>
      </c>
      <c r="BW64" s="41"/>
      <c r="BX64" s="41"/>
      <c r="BY64" s="41"/>
      <c r="BZ64" s="41">
        <f t="array" ref="BZ64">SUM(IF(List1_19="+++",9*Importance1,IF(List1_19="++",3*Importance1,IF(List1_19="+",1*Importance1,IF(List1_19="-",-1*Importance1,IF(List1_19="- -",-3*Importance1,IF(List1_19="- - -",-9*Importance1,"")))))))</f>
        <v>0</v>
      </c>
      <c r="CA64" s="41"/>
      <c r="CB64" s="41"/>
      <c r="CC64" s="41"/>
      <c r="CD64" s="41">
        <f t="array" ref="CD64">SUM(IF(List1_20="+++",9*Importance1,IF(List1_20="++",3*Importance1,IF(List1_20="+",1*Importance1,IF(List1_20="-",-1*Importance1,IF(List1_20="- -",-3*Importance1,IF(List1_20="- - -",-9*Importance1,"")))))))</f>
        <v>0</v>
      </c>
      <c r="CE64" s="41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</row>
    <row r="65" spans="1:121" ht="29.25" customHeight="1">
      <c r="A65" s="34"/>
      <c r="B65" s="34"/>
      <c r="C65" s="63" t="s">
        <v>21</v>
      </c>
      <c r="D65" s="64"/>
      <c r="E65" s="42"/>
      <c r="F65" s="62">
        <f>F64</f>
        <v>0</v>
      </c>
      <c r="G65" s="62"/>
      <c r="H65" s="62"/>
      <c r="I65" s="62"/>
      <c r="J65" s="62">
        <f>J64</f>
        <v>0</v>
      </c>
      <c r="K65" s="62"/>
      <c r="L65" s="62"/>
      <c r="M65" s="62"/>
      <c r="N65" s="62">
        <f>N64</f>
        <v>0</v>
      </c>
      <c r="O65" s="62"/>
      <c r="P65" s="62"/>
      <c r="Q65" s="62"/>
      <c r="R65" s="62">
        <f>R64</f>
        <v>0</v>
      </c>
      <c r="S65" s="62"/>
      <c r="T65" s="62"/>
      <c r="U65" s="62"/>
      <c r="V65" s="62">
        <f>V64</f>
        <v>0</v>
      </c>
      <c r="W65" s="62"/>
      <c r="X65" s="62"/>
      <c r="Y65" s="62"/>
      <c r="Z65" s="62">
        <f>Z64</f>
        <v>0</v>
      </c>
      <c r="AA65" s="62"/>
      <c r="AB65" s="62"/>
      <c r="AC65" s="62"/>
      <c r="AD65" s="62">
        <f>AD64</f>
        <v>0</v>
      </c>
      <c r="AE65" s="62"/>
      <c r="AF65" s="62"/>
      <c r="AG65" s="62"/>
      <c r="AH65" s="62">
        <f>AH64</f>
        <v>0</v>
      </c>
      <c r="AI65" s="62"/>
      <c r="AJ65" s="62"/>
      <c r="AK65" s="62"/>
      <c r="AL65" s="62">
        <f>AL64</f>
        <v>0</v>
      </c>
      <c r="AM65" s="62"/>
      <c r="AN65" s="62"/>
      <c r="AO65" s="62"/>
      <c r="AP65" s="62">
        <f>AP64</f>
        <v>0</v>
      </c>
      <c r="AQ65" s="62"/>
      <c r="AR65" s="62"/>
      <c r="AS65" s="62"/>
      <c r="AT65" s="62">
        <f>AT64</f>
        <v>0</v>
      </c>
      <c r="AU65" s="62"/>
      <c r="AV65" s="62"/>
      <c r="AW65" s="62"/>
      <c r="AX65" s="62">
        <f>AX64</f>
        <v>0</v>
      </c>
      <c r="AY65" s="62"/>
      <c r="AZ65" s="62"/>
      <c r="BA65" s="62"/>
      <c r="BB65" s="62">
        <f>BB64</f>
        <v>0</v>
      </c>
      <c r="BC65" s="62"/>
      <c r="BD65" s="62"/>
      <c r="BE65" s="62"/>
      <c r="BF65" s="62">
        <f>BF64</f>
        <v>0</v>
      </c>
      <c r="BG65" s="62"/>
      <c r="BH65" s="62"/>
      <c r="BI65" s="62"/>
      <c r="BJ65" s="62">
        <f>BJ64</f>
        <v>0</v>
      </c>
      <c r="BK65" s="62"/>
      <c r="BL65" s="62"/>
      <c r="BM65" s="62"/>
      <c r="BN65" s="62">
        <f>BN64</f>
        <v>0</v>
      </c>
      <c r="BO65" s="62"/>
      <c r="BP65" s="62"/>
      <c r="BQ65" s="62"/>
      <c r="BR65" s="62">
        <f>BR64</f>
        <v>0</v>
      </c>
      <c r="BS65" s="62"/>
      <c r="BT65" s="62"/>
      <c r="BU65" s="62"/>
      <c r="BV65" s="62">
        <f>BV64</f>
        <v>0</v>
      </c>
      <c r="BW65" s="62"/>
      <c r="BX65" s="62"/>
      <c r="BY65" s="62"/>
      <c r="BZ65" s="62">
        <f>BZ64</f>
        <v>0</v>
      </c>
      <c r="CA65" s="62"/>
      <c r="CB65" s="62"/>
      <c r="CC65" s="62"/>
      <c r="CD65" s="62">
        <f>CD64</f>
        <v>0</v>
      </c>
      <c r="CE65" s="62"/>
      <c r="CF65" s="62"/>
      <c r="CG65" s="62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</row>
    <row r="66" spans="1:121" ht="29.25" customHeight="1">
      <c r="A66" s="34"/>
      <c r="B66" s="34"/>
      <c r="C66" s="63" t="s">
        <v>22</v>
      </c>
      <c r="D66" s="64"/>
      <c r="E66" s="42"/>
      <c r="F66" s="62">
        <f>RANK(F65,$F65:$CG65,0)</f>
        <v>1</v>
      </c>
      <c r="G66" s="62"/>
      <c r="H66" s="62"/>
      <c r="I66" s="62"/>
      <c r="J66" s="62">
        <f>RANK(J65,$F65:$CG65,0)</f>
        <v>1</v>
      </c>
      <c r="K66" s="62"/>
      <c r="L66" s="62"/>
      <c r="M66" s="62"/>
      <c r="N66" s="62">
        <f>RANK(N65,$F65:$CG65,0)</f>
        <v>1</v>
      </c>
      <c r="O66" s="62"/>
      <c r="P66" s="62"/>
      <c r="Q66" s="62"/>
      <c r="R66" s="62">
        <f>RANK(R65,$F65:$CG65,0)</f>
        <v>1</v>
      </c>
      <c r="S66" s="62"/>
      <c r="T66" s="62"/>
      <c r="U66" s="62"/>
      <c r="V66" s="62">
        <f>RANK(V65,$F65:$CG65,0)</f>
        <v>1</v>
      </c>
      <c r="W66" s="62"/>
      <c r="X66" s="62"/>
      <c r="Y66" s="62"/>
      <c r="Z66" s="62">
        <f>RANK(Z65,$F65:$CG65,0)</f>
        <v>1</v>
      </c>
      <c r="AA66" s="62"/>
      <c r="AB66" s="62"/>
      <c r="AC66" s="62"/>
      <c r="AD66" s="62">
        <f>RANK(AD65,$F65:$CG65,0)</f>
        <v>1</v>
      </c>
      <c r="AE66" s="62"/>
      <c r="AF66" s="62"/>
      <c r="AG66" s="62"/>
      <c r="AH66" s="62">
        <f>RANK(AH65,$F65:$CG65,0)</f>
        <v>1</v>
      </c>
      <c r="AI66" s="62"/>
      <c r="AJ66" s="62"/>
      <c r="AK66" s="62"/>
      <c r="AL66" s="62">
        <f>RANK(AL65,$F65:$CG65,0)</f>
        <v>1</v>
      </c>
      <c r="AM66" s="62"/>
      <c r="AN66" s="62"/>
      <c r="AO66" s="62"/>
      <c r="AP66" s="62">
        <f>RANK(AP65,$F65:$CG65,0)</f>
        <v>1</v>
      </c>
      <c r="AQ66" s="62"/>
      <c r="AR66" s="62"/>
      <c r="AS66" s="62"/>
      <c r="AT66" s="62">
        <f>RANK(AT65,$F65:$CG65,0)</f>
        <v>1</v>
      </c>
      <c r="AU66" s="62"/>
      <c r="AV66" s="62"/>
      <c r="AW66" s="62"/>
      <c r="AX66" s="62">
        <f>RANK(AX65,$F65:$CG65,0)</f>
        <v>1</v>
      </c>
      <c r="AY66" s="62"/>
      <c r="AZ66" s="62"/>
      <c r="BA66" s="62"/>
      <c r="BB66" s="62">
        <f>RANK(BB65,$F65:$CG65,0)</f>
        <v>1</v>
      </c>
      <c r="BC66" s="62"/>
      <c r="BD66" s="62"/>
      <c r="BE66" s="62"/>
      <c r="BF66" s="62">
        <f>RANK(BF65,$F65:$CG65,0)</f>
        <v>1</v>
      </c>
      <c r="BG66" s="62"/>
      <c r="BH66" s="62"/>
      <c r="BI66" s="62"/>
      <c r="BJ66" s="62">
        <f>RANK(BJ65,$F65:$CG65,0)</f>
        <v>1</v>
      </c>
      <c r="BK66" s="62"/>
      <c r="BL66" s="62"/>
      <c r="BM66" s="62"/>
      <c r="BN66" s="62">
        <f>RANK(BN65,$F65:$CG65,0)</f>
        <v>1</v>
      </c>
      <c r="BO66" s="62"/>
      <c r="BP66" s="62"/>
      <c r="BQ66" s="62"/>
      <c r="BR66" s="62">
        <f>RANK(BR65,$F65:$CG65,0)</f>
        <v>1</v>
      </c>
      <c r="BS66" s="62"/>
      <c r="BT66" s="62"/>
      <c r="BU66" s="62"/>
      <c r="BV66" s="62">
        <f>RANK(BV65,$F65:$CG65,0)</f>
        <v>1</v>
      </c>
      <c r="BW66" s="62"/>
      <c r="BX66" s="62"/>
      <c r="BY66" s="62"/>
      <c r="BZ66" s="62">
        <f>RANK(BZ65,$F65:$CG65,0)</f>
        <v>1</v>
      </c>
      <c r="CA66" s="62"/>
      <c r="CB66" s="62"/>
      <c r="CC66" s="62"/>
      <c r="CD66" s="62">
        <f>RANK(CD65,$F65:$CG65,0)</f>
        <v>1</v>
      </c>
      <c r="CE66" s="62"/>
      <c r="CF66" s="62"/>
      <c r="CG66" s="62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</row>
    <row r="67" spans="1:12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</row>
    <row r="68" spans="1:121">
      <c r="A68" s="34"/>
      <c r="B68" s="34"/>
      <c r="C68" s="34"/>
      <c r="D68" s="34"/>
      <c r="E68" s="34"/>
      <c r="F68" s="59"/>
      <c r="G68" s="59"/>
      <c r="H68" s="59"/>
      <c r="I68" s="59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60" t="s">
        <v>23</v>
      </c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</row>
    <row r="69" spans="1:121">
      <c r="A69" s="34"/>
      <c r="B69" s="34"/>
      <c r="C69" s="34"/>
      <c r="D69" s="34"/>
      <c r="E69" s="34"/>
      <c r="F69" s="59"/>
      <c r="G69" s="59"/>
      <c r="H69" s="59"/>
      <c r="I69" s="5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</row>
    <row r="70" spans="1:121">
      <c r="A70" s="34"/>
      <c r="B70" s="34"/>
      <c r="C70" s="34"/>
      <c r="D70" s="43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</row>
    <row r="71" spans="1:121">
      <c r="A71" s="34"/>
      <c r="B71" s="34"/>
      <c r="C71" s="34"/>
      <c r="D71" s="43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</row>
    <row r="72" spans="1:121">
      <c r="A72" s="34"/>
      <c r="B72" s="34"/>
      <c r="C72" s="34"/>
      <c r="D72" s="43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</row>
    <row r="73" spans="1:121">
      <c r="A73" s="34"/>
      <c r="B73" s="34"/>
      <c r="C73" s="44" t="s">
        <v>24</v>
      </c>
      <c r="D73" s="43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</row>
    <row r="74" spans="1:121">
      <c r="A74" s="34"/>
      <c r="B74" s="41">
        <v>1</v>
      </c>
      <c r="C74" s="45" t="s">
        <v>4</v>
      </c>
      <c r="D74" s="46"/>
      <c r="E74" s="47" t="s">
        <v>5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</row>
    <row r="75" spans="1:121">
      <c r="A75" s="34"/>
      <c r="B75" s="41">
        <v>2</v>
      </c>
      <c r="C75" s="45" t="s">
        <v>6</v>
      </c>
      <c r="D75" s="46"/>
      <c r="E75" s="48" t="s">
        <v>7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</row>
    <row r="76" spans="1:121">
      <c r="A76" s="34"/>
      <c r="B76" s="41">
        <v>3</v>
      </c>
      <c r="C76" s="45" t="s">
        <v>8</v>
      </c>
      <c r="D76" s="46"/>
      <c r="E76" s="49" t="s">
        <v>9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</row>
    <row r="77" spans="1:121">
      <c r="A77" s="34"/>
      <c r="B77" s="41">
        <v>4</v>
      </c>
      <c r="C77" s="1" t="s">
        <v>25</v>
      </c>
      <c r="E77" s="50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</row>
    <row r="78" spans="1:121">
      <c r="A78" s="34"/>
      <c r="B78" s="41">
        <v>5</v>
      </c>
      <c r="C78" s="45" t="s">
        <v>11</v>
      </c>
      <c r="D78" s="46"/>
      <c r="E78" s="51" t="s">
        <v>12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</row>
    <row r="79" spans="1:121">
      <c r="A79" s="34"/>
      <c r="B79" s="41">
        <v>6</v>
      </c>
      <c r="C79" s="45" t="s">
        <v>13</v>
      </c>
      <c r="D79" s="46"/>
      <c r="E79" s="52" t="s">
        <v>14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</row>
    <row r="80" spans="1:121">
      <c r="A80" s="34"/>
      <c r="B80" s="41">
        <v>7</v>
      </c>
      <c r="C80" s="45" t="s">
        <v>15</v>
      </c>
      <c r="D80" s="46"/>
      <c r="E80" s="53" t="s">
        <v>26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</row>
    <row r="81" spans="1:12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</row>
    <row r="82" spans="1:12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</row>
    <row r="83" spans="1:12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</row>
    <row r="84" spans="1:12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</row>
    <row r="85" spans="1:12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</row>
    <row r="86" spans="1:12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</row>
    <row r="87" spans="1:12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</row>
    <row r="88" spans="1:12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</row>
    <row r="89" spans="1:12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</row>
    <row r="90" spans="1:12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</row>
    <row r="91" spans="1:12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</row>
    <row r="92" spans="1:12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</row>
    <row r="93" spans="1:12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</row>
    <row r="94" spans="1:12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</row>
    <row r="95" spans="1:12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</row>
    <row r="96" spans="1:12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</row>
    <row r="97" spans="1:12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</row>
    <row r="98" spans="1:12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</row>
    <row r="99" spans="1:12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</row>
    <row r="100" spans="1:12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</row>
    <row r="101" spans="1:12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</row>
    <row r="102" spans="1:12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</row>
    <row r="103" spans="1:12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</row>
    <row r="104" spans="1:12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</row>
    <row r="105" spans="1:12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</row>
    <row r="106" spans="1:12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</row>
    <row r="107" spans="1:12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</row>
    <row r="108" spans="1:12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</row>
    <row r="109" spans="1:12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</row>
    <row r="110" spans="1:12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</row>
    <row r="111" spans="1:12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</row>
    <row r="112" spans="1:12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</row>
    <row r="113" spans="1:12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</row>
    <row r="114" spans="1:12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</row>
    <row r="115" spans="1:12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</row>
    <row r="116" spans="1:12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</row>
    <row r="117" spans="1:12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</row>
    <row r="118" spans="1:12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</row>
    <row r="119" spans="1:12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</row>
    <row r="120" spans="1:12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</row>
    <row r="121" spans="1: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</row>
    <row r="122" spans="1:12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</row>
    <row r="123" spans="1:12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</row>
    <row r="124" spans="1:12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</row>
    <row r="125" spans="1:12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</row>
    <row r="126" spans="1:12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</row>
    <row r="127" spans="1:12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</row>
    <row r="128" spans="1:12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</row>
    <row r="129" spans="1:12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</row>
    <row r="130" spans="1:12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</row>
    <row r="131" spans="1:12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</row>
    <row r="132" spans="1:12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</row>
    <row r="133" spans="1:12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</row>
    <row r="134" spans="1:12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</row>
    <row r="135" spans="1:12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</row>
    <row r="136" spans="1:12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</row>
    <row r="137" spans="1:12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</row>
    <row r="138" spans="1:12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</row>
    <row r="139" spans="1:12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</row>
    <row r="140" spans="1:12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</row>
    <row r="141" spans="1:12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</row>
    <row r="142" spans="1:12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</row>
    <row r="143" spans="1:12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</row>
    <row r="144" spans="1:12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</row>
    <row r="145" spans="1:12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</row>
    <row r="146" spans="1:12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</row>
    <row r="147" spans="1:12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</row>
    <row r="148" spans="1:12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</row>
    <row r="149" spans="1:12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</row>
    <row r="150" spans="1:12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</row>
    <row r="151" spans="1:12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</row>
    <row r="152" spans="1:12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</row>
    <row r="153" spans="1:12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</row>
    <row r="154" spans="1:12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</row>
    <row r="155" spans="1:12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</row>
    <row r="156" spans="1:12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</row>
    <row r="157" spans="1:12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</row>
    <row r="158" spans="1:12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</row>
    <row r="159" spans="1:12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</row>
    <row r="160" spans="1:12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</row>
    <row r="161" spans="1:12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</row>
    <row r="162" spans="1:12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</row>
    <row r="163" spans="1:12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</row>
    <row r="164" spans="1:12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</row>
    <row r="165" spans="1:12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</row>
    <row r="166" spans="1:12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</row>
    <row r="167" spans="1:12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</row>
    <row r="168" spans="1:12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</row>
    <row r="169" spans="1:12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</row>
    <row r="170" spans="1:12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</row>
    <row r="171" spans="1:12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</row>
    <row r="172" spans="1:12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</row>
    <row r="173" spans="1:12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</row>
    <row r="174" spans="1:12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</row>
    <row r="175" spans="1:12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</row>
    <row r="176" spans="1:12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</row>
    <row r="177" spans="1:12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</row>
    <row r="178" spans="1:12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</row>
    <row r="179" spans="1:12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</row>
    <row r="180" spans="1:12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</row>
    <row r="181" spans="1:12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</row>
    <row r="182" spans="1:12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</row>
    <row r="183" spans="1:12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</row>
    <row r="184" spans="1:12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</row>
    <row r="185" spans="1:12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</row>
    <row r="186" spans="1:12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</row>
    <row r="187" spans="1:12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</row>
    <row r="188" spans="1:12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</row>
    <row r="189" spans="1:12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</row>
    <row r="190" spans="1:12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</row>
    <row r="191" spans="1:12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</row>
    <row r="192" spans="1:12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</row>
    <row r="193" spans="1:12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</row>
    <row r="194" spans="1:12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</row>
    <row r="195" spans="1:12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</row>
    <row r="196" spans="1:12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</row>
    <row r="197" spans="1:12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</row>
    <row r="198" spans="1:12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</row>
    <row r="199" spans="1:12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</row>
    <row r="200" spans="1:12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</row>
    <row r="201" spans="1:12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</row>
    <row r="202" spans="1:12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</row>
    <row r="203" spans="1:12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</row>
    <row r="204" spans="1:12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</row>
    <row r="205" spans="1:12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</row>
    <row r="206" spans="1:12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</row>
    <row r="207" spans="1:12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</row>
    <row r="208" spans="1:12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</row>
    <row r="209" spans="1:12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</row>
    <row r="210" spans="1:12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</row>
    <row r="211" spans="1:12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</row>
    <row r="212" spans="1:12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</row>
    <row r="213" spans="1:12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</row>
    <row r="214" spans="1:12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</row>
    <row r="215" spans="1:12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</row>
    <row r="216" spans="1:12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</row>
    <row r="217" spans="1:12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</row>
    <row r="218" spans="1:12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</row>
  </sheetData>
  <mergeCells count="881">
    <mergeCell ref="A1:C2"/>
    <mergeCell ref="D1:AD1"/>
    <mergeCell ref="AS3:AT4"/>
    <mergeCell ref="AQ5:AR6"/>
    <mergeCell ref="AS5:AT6"/>
    <mergeCell ref="AU5:AV6"/>
    <mergeCell ref="C6:E7"/>
    <mergeCell ref="AO7:AP8"/>
    <mergeCell ref="AQ7:AR8"/>
    <mergeCell ref="AS7:AT8"/>
    <mergeCell ref="AU7:AV8"/>
    <mergeCell ref="AW7:AX8"/>
    <mergeCell ref="CA8:CD9"/>
    <mergeCell ref="AM9:AN10"/>
    <mergeCell ref="AO9:AP10"/>
    <mergeCell ref="AQ9:AR10"/>
    <mergeCell ref="AS9:AT10"/>
    <mergeCell ref="AU9:AV10"/>
    <mergeCell ref="AW9:AX10"/>
    <mergeCell ref="AY9:AZ10"/>
    <mergeCell ref="AI13:AJ14"/>
    <mergeCell ref="AK13:AL14"/>
    <mergeCell ref="AM13:AN14"/>
    <mergeCell ref="AO13:AP14"/>
    <mergeCell ref="AQ13:AR14"/>
    <mergeCell ref="AS13:AT14"/>
    <mergeCell ref="AU13:AV14"/>
    <mergeCell ref="CC10:CO11"/>
    <mergeCell ref="CP10:CP11"/>
    <mergeCell ref="AK11:AL12"/>
    <mergeCell ref="AM11:AN12"/>
    <mergeCell ref="AO11:AP12"/>
    <mergeCell ref="AQ11:AR12"/>
    <mergeCell ref="AS11:AT12"/>
    <mergeCell ref="AU11:AV12"/>
    <mergeCell ref="AW11:AX12"/>
    <mergeCell ref="AY11:AZ12"/>
    <mergeCell ref="CC14:CO15"/>
    <mergeCell ref="AY15:AZ16"/>
    <mergeCell ref="BA15:BB16"/>
    <mergeCell ref="BC15:BD16"/>
    <mergeCell ref="BE15:BF16"/>
    <mergeCell ref="CC16:CO17"/>
    <mergeCell ref="BA11:BB12"/>
    <mergeCell ref="CC12:CO13"/>
    <mergeCell ref="CP12:CP13"/>
    <mergeCell ref="AW15:AX16"/>
    <mergeCell ref="CP16:CP17"/>
    <mergeCell ref="AE17:AF18"/>
    <mergeCell ref="AG17:AH18"/>
    <mergeCell ref="AI17:AJ18"/>
    <mergeCell ref="AK17:AL18"/>
    <mergeCell ref="AM17:AN18"/>
    <mergeCell ref="AO17:AP18"/>
    <mergeCell ref="AQ17:AR18"/>
    <mergeCell ref="AS17:AT18"/>
    <mergeCell ref="BE17:BF18"/>
    <mergeCell ref="CP14:CP15"/>
    <mergeCell ref="AG15:AH16"/>
    <mergeCell ref="AI15:AJ16"/>
    <mergeCell ref="AK15:AL16"/>
    <mergeCell ref="AM15:AN16"/>
    <mergeCell ref="AO15:AP16"/>
    <mergeCell ref="AQ15:AR16"/>
    <mergeCell ref="AS15:AT16"/>
    <mergeCell ref="AU15:AV16"/>
    <mergeCell ref="AW13:AX14"/>
    <mergeCell ref="AY13:AZ14"/>
    <mergeCell ref="BA13:BB14"/>
    <mergeCell ref="BC13:BD14"/>
    <mergeCell ref="AS19:AT20"/>
    <mergeCell ref="AU19:AV20"/>
    <mergeCell ref="AW19:AX20"/>
    <mergeCell ref="AY19:AZ20"/>
    <mergeCell ref="BA19:BB20"/>
    <mergeCell ref="BC19:BD20"/>
    <mergeCell ref="CC18:CO19"/>
    <mergeCell ref="CP18:CP19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U17:AV18"/>
    <mergeCell ref="AW17:AX18"/>
    <mergeCell ref="AY17:AZ18"/>
    <mergeCell ref="BA17:BB18"/>
    <mergeCell ref="BC17:BD18"/>
    <mergeCell ref="BG17:BH18"/>
    <mergeCell ref="BE19:BF20"/>
    <mergeCell ref="BG19:BH20"/>
    <mergeCell ref="BI19:BJ20"/>
    <mergeCell ref="CC20:CO21"/>
    <mergeCell ref="CP20:CP21"/>
    <mergeCell ref="BG21:BH22"/>
    <mergeCell ref="BI21:BJ22"/>
    <mergeCell ref="BK21:BL22"/>
    <mergeCell ref="CC22:CO23"/>
    <mergeCell ref="CP22:CP23"/>
    <mergeCell ref="BM23:BN24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BE21:BF22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AS21:AT22"/>
    <mergeCell ref="AU21:AV22"/>
    <mergeCell ref="AW21:AX22"/>
    <mergeCell ref="AY21:AZ22"/>
    <mergeCell ref="BA21:BB22"/>
    <mergeCell ref="BC21:BD22"/>
    <mergeCell ref="BG23:BH24"/>
    <mergeCell ref="BI23:BJ24"/>
    <mergeCell ref="BK23:BL24"/>
    <mergeCell ref="W25:X26"/>
    <mergeCell ref="Y25:Z26"/>
    <mergeCell ref="AA25:AB26"/>
    <mergeCell ref="AC25:AD26"/>
    <mergeCell ref="AE25:AF26"/>
    <mergeCell ref="AQ23:AR24"/>
    <mergeCell ref="AS23:AT24"/>
    <mergeCell ref="AU23:AV24"/>
    <mergeCell ref="AW23:AX24"/>
    <mergeCell ref="AY23:AZ24"/>
    <mergeCell ref="BA23:BB24"/>
    <mergeCell ref="BC25:BD26"/>
    <mergeCell ref="AG25:AH26"/>
    <mergeCell ref="AI25:AJ26"/>
    <mergeCell ref="AK25:AL26"/>
    <mergeCell ref="AM25:AN26"/>
    <mergeCell ref="AO25:AP26"/>
    <mergeCell ref="AQ25:AR26"/>
    <mergeCell ref="BC23:BD24"/>
    <mergeCell ref="BE23:BF24"/>
    <mergeCell ref="AI27:AJ28"/>
    <mergeCell ref="AK27:AL28"/>
    <mergeCell ref="AM27:AN28"/>
    <mergeCell ref="CM26:CN26"/>
    <mergeCell ref="C27:D30"/>
    <mergeCell ref="U27:V28"/>
    <mergeCell ref="W27:X28"/>
    <mergeCell ref="Y27:Z28"/>
    <mergeCell ref="S29:T30"/>
    <mergeCell ref="U29:V30"/>
    <mergeCell ref="W29:X30"/>
    <mergeCell ref="Y29:Z30"/>
    <mergeCell ref="AA27:AB28"/>
    <mergeCell ref="BE25:BF26"/>
    <mergeCell ref="BG25:BH26"/>
    <mergeCell ref="BI25:BJ26"/>
    <mergeCell ref="BK25:BL26"/>
    <mergeCell ref="BM25:BN26"/>
    <mergeCell ref="BO25:BP26"/>
    <mergeCell ref="AS25:AT26"/>
    <mergeCell ref="AU25:AV26"/>
    <mergeCell ref="AW25:AX26"/>
    <mergeCell ref="AY25:AZ26"/>
    <mergeCell ref="BA25:BB26"/>
    <mergeCell ref="BO27:BP28"/>
    <mergeCell ref="BQ27:BR28"/>
    <mergeCell ref="CM27:CN27"/>
    <mergeCell ref="CM28:CN28"/>
    <mergeCell ref="AA29:AB30"/>
    <mergeCell ref="AC29:AD30"/>
    <mergeCell ref="AE29:AF30"/>
    <mergeCell ref="AG29:AH30"/>
    <mergeCell ref="AI29:AJ30"/>
    <mergeCell ref="BA27:BB28"/>
    <mergeCell ref="BC27:BD28"/>
    <mergeCell ref="BE27:BF28"/>
    <mergeCell ref="BG27:BH28"/>
    <mergeCell ref="BI27:BJ28"/>
    <mergeCell ref="BK27:BL28"/>
    <mergeCell ref="AO27:AP28"/>
    <mergeCell ref="AQ27:AR28"/>
    <mergeCell ref="AS27:AT28"/>
    <mergeCell ref="AU27:AV28"/>
    <mergeCell ref="AW27:AX28"/>
    <mergeCell ref="AY27:AZ28"/>
    <mergeCell ref="AC27:AD28"/>
    <mergeCell ref="AE27:AF28"/>
    <mergeCell ref="AG27:AH28"/>
    <mergeCell ref="BE29:BF30"/>
    <mergeCell ref="BG29:BH30"/>
    <mergeCell ref="AK29:AL30"/>
    <mergeCell ref="AM29:AN30"/>
    <mergeCell ref="AO29:AP30"/>
    <mergeCell ref="AQ29:AR30"/>
    <mergeCell ref="AS29:AT30"/>
    <mergeCell ref="AU29:AV30"/>
    <mergeCell ref="BM27:BN28"/>
    <mergeCell ref="AK31:AL32"/>
    <mergeCell ref="AM31:AN32"/>
    <mergeCell ref="AO31:AP32"/>
    <mergeCell ref="AQ31:AR32"/>
    <mergeCell ref="CM29:CN29"/>
    <mergeCell ref="CM30:CN30"/>
    <mergeCell ref="Q31:R32"/>
    <mergeCell ref="S31:T32"/>
    <mergeCell ref="U31:V32"/>
    <mergeCell ref="W31:X32"/>
    <mergeCell ref="Y31:Z32"/>
    <mergeCell ref="AA31:AB32"/>
    <mergeCell ref="AC31:AD32"/>
    <mergeCell ref="AE31:AF32"/>
    <mergeCell ref="BI29:BJ30"/>
    <mergeCell ref="BK29:BL30"/>
    <mergeCell ref="BM29:BN30"/>
    <mergeCell ref="BO29:BP30"/>
    <mergeCell ref="BQ29:BR30"/>
    <mergeCell ref="BS29:BT30"/>
    <mergeCell ref="AW29:AX30"/>
    <mergeCell ref="AY29:AZ30"/>
    <mergeCell ref="BA29:BB30"/>
    <mergeCell ref="BC29:BD30"/>
    <mergeCell ref="BQ31:BR32"/>
    <mergeCell ref="BS31:BT32"/>
    <mergeCell ref="BU31:BV32"/>
    <mergeCell ref="CM31:CN31"/>
    <mergeCell ref="O33:P34"/>
    <mergeCell ref="Q33:R34"/>
    <mergeCell ref="S33:T34"/>
    <mergeCell ref="U33:V34"/>
    <mergeCell ref="W33:X34"/>
    <mergeCell ref="Y33:Z34"/>
    <mergeCell ref="BE31:BF32"/>
    <mergeCell ref="BG31:BH32"/>
    <mergeCell ref="BI31:BJ32"/>
    <mergeCell ref="BK31:BL32"/>
    <mergeCell ref="BM31:BN32"/>
    <mergeCell ref="BO31:BP32"/>
    <mergeCell ref="AS31:AT32"/>
    <mergeCell ref="AU31:AV32"/>
    <mergeCell ref="AW31:AX32"/>
    <mergeCell ref="AY31:AZ32"/>
    <mergeCell ref="BA31:BB32"/>
    <mergeCell ref="BC31:BD32"/>
    <mergeCell ref="AG31:AH32"/>
    <mergeCell ref="AI31:AJ32"/>
    <mergeCell ref="AM33:AN34"/>
    <mergeCell ref="AO33:AP34"/>
    <mergeCell ref="AQ33:AR34"/>
    <mergeCell ref="AS33:AT34"/>
    <mergeCell ref="AU33:AV34"/>
    <mergeCell ref="AW33:AX34"/>
    <mergeCell ref="AA33:AB34"/>
    <mergeCell ref="AC33:AD34"/>
    <mergeCell ref="AE33:AF34"/>
    <mergeCell ref="AG33:AH34"/>
    <mergeCell ref="AI33:AJ34"/>
    <mergeCell ref="AK33:AL34"/>
    <mergeCell ref="BK33:BL34"/>
    <mergeCell ref="BM33:BN34"/>
    <mergeCell ref="BO33:BP34"/>
    <mergeCell ref="BQ33:BR34"/>
    <mergeCell ref="BS33:BT34"/>
    <mergeCell ref="BU33:BV34"/>
    <mergeCell ref="AY33:AZ34"/>
    <mergeCell ref="BA33:BB34"/>
    <mergeCell ref="BC33:BD34"/>
    <mergeCell ref="BE33:BF34"/>
    <mergeCell ref="BG33:BH34"/>
    <mergeCell ref="BI33:BJ34"/>
    <mergeCell ref="BW33:BX34"/>
    <mergeCell ref="CI34:CO40"/>
    <mergeCell ref="BY35:BZ36"/>
    <mergeCell ref="BW37:BX38"/>
    <mergeCell ref="BY37:BZ38"/>
    <mergeCell ref="CA37:CB38"/>
    <mergeCell ref="BY39:BZ40"/>
    <mergeCell ref="CA39:CB40"/>
    <mergeCell ref="CC39:CD40"/>
    <mergeCell ref="BU39:BV40"/>
    <mergeCell ref="BW39:BX40"/>
    <mergeCell ref="M35:N36"/>
    <mergeCell ref="O35:P36"/>
    <mergeCell ref="Q35:R36"/>
    <mergeCell ref="S35:T36"/>
    <mergeCell ref="U35:V36"/>
    <mergeCell ref="W35:X36"/>
    <mergeCell ref="Y35:Z36"/>
    <mergeCell ref="AA35:AB36"/>
    <mergeCell ref="BS35:BT36"/>
    <mergeCell ref="BU35:BV36"/>
    <mergeCell ref="BW35:BX36"/>
    <mergeCell ref="BA35:BB36"/>
    <mergeCell ref="BC35:BD36"/>
    <mergeCell ref="BE35:BF36"/>
    <mergeCell ref="BG35:BH36"/>
    <mergeCell ref="BI35:BJ36"/>
    <mergeCell ref="BK35:BL36"/>
    <mergeCell ref="K37:L38"/>
    <mergeCell ref="M37:N38"/>
    <mergeCell ref="O37:P38"/>
    <mergeCell ref="Q37:R38"/>
    <mergeCell ref="S37:T38"/>
    <mergeCell ref="U37:V38"/>
    <mergeCell ref="BM35:BN36"/>
    <mergeCell ref="BO35:BP36"/>
    <mergeCell ref="BQ35:BR36"/>
    <mergeCell ref="AO35:AP36"/>
    <mergeCell ref="AQ35:AR36"/>
    <mergeCell ref="AS35:AT36"/>
    <mergeCell ref="AU35:AV36"/>
    <mergeCell ref="AW35:AX36"/>
    <mergeCell ref="AY35:AZ36"/>
    <mergeCell ref="AC35:AD36"/>
    <mergeCell ref="AE35:AF36"/>
    <mergeCell ref="AG35:AH36"/>
    <mergeCell ref="AI35:AJ36"/>
    <mergeCell ref="AK35:AL36"/>
    <mergeCell ref="AM35:AN36"/>
    <mergeCell ref="AM37:AN38"/>
    <mergeCell ref="AO37:AP38"/>
    <mergeCell ref="AQ37:AR38"/>
    <mergeCell ref="AS37:AT38"/>
    <mergeCell ref="W37:X38"/>
    <mergeCell ref="Y37:Z38"/>
    <mergeCell ref="AA37:AB38"/>
    <mergeCell ref="AC37:AD38"/>
    <mergeCell ref="AE37:AF38"/>
    <mergeCell ref="AG37:AH38"/>
    <mergeCell ref="BS37:BT38"/>
    <mergeCell ref="BU37:BV38"/>
    <mergeCell ref="I39:J40"/>
    <mergeCell ref="K39:L40"/>
    <mergeCell ref="M39:N40"/>
    <mergeCell ref="O39:P40"/>
    <mergeCell ref="Q39:R40"/>
    <mergeCell ref="S39:T40"/>
    <mergeCell ref="U39:V40"/>
    <mergeCell ref="W39:X40"/>
    <mergeCell ref="BG37:BH38"/>
    <mergeCell ref="BI37:BJ38"/>
    <mergeCell ref="BK37:BL38"/>
    <mergeCell ref="BM37:BN38"/>
    <mergeCell ref="BO37:BP38"/>
    <mergeCell ref="BQ37:BR38"/>
    <mergeCell ref="AU37:AV38"/>
    <mergeCell ref="AW37:AX38"/>
    <mergeCell ref="AY37:AZ38"/>
    <mergeCell ref="BA37:BB38"/>
    <mergeCell ref="BC37:BD38"/>
    <mergeCell ref="BE37:BF38"/>
    <mergeCell ref="AI37:AJ38"/>
    <mergeCell ref="AK37:AL38"/>
    <mergeCell ref="BS39:BT40"/>
    <mergeCell ref="AW39:AX40"/>
    <mergeCell ref="AY39:AZ40"/>
    <mergeCell ref="BA39:BB40"/>
    <mergeCell ref="BC39:BD40"/>
    <mergeCell ref="BE39:BF40"/>
    <mergeCell ref="BG39:BH40"/>
    <mergeCell ref="AK39:AL40"/>
    <mergeCell ref="AM39:AN40"/>
    <mergeCell ref="AO39:AP40"/>
    <mergeCell ref="AQ39:AR40"/>
    <mergeCell ref="AS39:AT40"/>
    <mergeCell ref="AU39:AV40"/>
    <mergeCell ref="O41:P41"/>
    <mergeCell ref="S41:T41"/>
    <mergeCell ref="W41:X41"/>
    <mergeCell ref="AA41:AB41"/>
    <mergeCell ref="BI39:BJ40"/>
    <mergeCell ref="BK39:BL40"/>
    <mergeCell ref="BM39:BN40"/>
    <mergeCell ref="BO39:BP40"/>
    <mergeCell ref="BQ39:BR40"/>
    <mergeCell ref="Y39:Z40"/>
    <mergeCell ref="AA39:AB40"/>
    <mergeCell ref="AC39:AD40"/>
    <mergeCell ref="AE39:AF40"/>
    <mergeCell ref="AG39:AH40"/>
    <mergeCell ref="AI39:AJ40"/>
    <mergeCell ref="CA41:CB41"/>
    <mergeCell ref="CE41:CF41"/>
    <mergeCell ref="CI41:CI43"/>
    <mergeCell ref="CK41:CO41"/>
    <mergeCell ref="E42:E43"/>
    <mergeCell ref="F42:I43"/>
    <mergeCell ref="J42:M43"/>
    <mergeCell ref="N42:Q43"/>
    <mergeCell ref="R42:U43"/>
    <mergeCell ref="V42:Y43"/>
    <mergeCell ref="BC41:BD41"/>
    <mergeCell ref="BG41:BH41"/>
    <mergeCell ref="BK41:BL41"/>
    <mergeCell ref="BO41:BP41"/>
    <mergeCell ref="BS41:BT41"/>
    <mergeCell ref="BW41:BX41"/>
    <mergeCell ref="AE41:AF41"/>
    <mergeCell ref="AI41:AJ41"/>
    <mergeCell ref="AM41:AN41"/>
    <mergeCell ref="AQ41:AR41"/>
    <mergeCell ref="AU41:AV41"/>
    <mergeCell ref="AY41:AZ41"/>
    <mergeCell ref="G41:H41"/>
    <mergeCell ref="K41:L41"/>
    <mergeCell ref="CN42:CN43"/>
    <mergeCell ref="CO42:CO43"/>
    <mergeCell ref="B43:C43"/>
    <mergeCell ref="BZ42:CC43"/>
    <mergeCell ref="CD42:CG43"/>
    <mergeCell ref="CK42:CK43"/>
    <mergeCell ref="CL42:CL43"/>
    <mergeCell ref="BJ42:BM43"/>
    <mergeCell ref="BN42:BQ43"/>
    <mergeCell ref="BV42:BY43"/>
    <mergeCell ref="AT42:AW43"/>
    <mergeCell ref="AX42:BA43"/>
    <mergeCell ref="BB42:BE43"/>
    <mergeCell ref="BF42:BI43"/>
    <mergeCell ref="CM42:CM43"/>
    <mergeCell ref="Z42:AC43"/>
    <mergeCell ref="AD42:AG43"/>
    <mergeCell ref="AH42:AK43"/>
    <mergeCell ref="AL42:AO43"/>
    <mergeCell ref="AP42:AS43"/>
    <mergeCell ref="BR42:BU43"/>
    <mergeCell ref="F45:I45"/>
    <mergeCell ref="J45:M45"/>
    <mergeCell ref="N45:Q45"/>
    <mergeCell ref="R45:U45"/>
    <mergeCell ref="V45:Y45"/>
    <mergeCell ref="Z45:AC45"/>
    <mergeCell ref="AD45:AG45"/>
    <mergeCell ref="AH45:AK45"/>
    <mergeCell ref="BB44:BE44"/>
    <mergeCell ref="AD44:AG44"/>
    <mergeCell ref="AH44:AK44"/>
    <mergeCell ref="AL44:AO44"/>
    <mergeCell ref="AP44:AS44"/>
    <mergeCell ref="AT44:AW44"/>
    <mergeCell ref="AX44:BA44"/>
    <mergeCell ref="F44:I44"/>
    <mergeCell ref="J44:M44"/>
    <mergeCell ref="N44:Q44"/>
    <mergeCell ref="R44:U44"/>
    <mergeCell ref="V44:Y44"/>
    <mergeCell ref="Z44:AC44"/>
    <mergeCell ref="CD45:CG45"/>
    <mergeCell ref="AL45:AO45"/>
    <mergeCell ref="AP45:AS45"/>
    <mergeCell ref="AT45:AW45"/>
    <mergeCell ref="AX45:BA45"/>
    <mergeCell ref="BB45:BE45"/>
    <mergeCell ref="BF45:BI45"/>
    <mergeCell ref="BZ44:CC44"/>
    <mergeCell ref="CD44:CG44"/>
    <mergeCell ref="BF44:BI44"/>
    <mergeCell ref="BJ44:BM44"/>
    <mergeCell ref="BN44:BQ44"/>
    <mergeCell ref="BR44:BU44"/>
    <mergeCell ref="BV44:BY44"/>
    <mergeCell ref="N46:Q46"/>
    <mergeCell ref="R46:U46"/>
    <mergeCell ref="V46:Y46"/>
    <mergeCell ref="Z46:AC46"/>
    <mergeCell ref="BJ45:BM45"/>
    <mergeCell ref="BN45:BQ45"/>
    <mergeCell ref="BR45:BU45"/>
    <mergeCell ref="BV45:BY45"/>
    <mergeCell ref="BZ45:CC45"/>
    <mergeCell ref="BZ46:CC46"/>
    <mergeCell ref="CD46:CG46"/>
    <mergeCell ref="F47:I47"/>
    <mergeCell ref="J47:M47"/>
    <mergeCell ref="N47:Q47"/>
    <mergeCell ref="R47:U47"/>
    <mergeCell ref="V47:Y47"/>
    <mergeCell ref="Z47:AC47"/>
    <mergeCell ref="AD47:AG47"/>
    <mergeCell ref="AH47:AK47"/>
    <mergeCell ref="BB46:BE46"/>
    <mergeCell ref="BF46:BI46"/>
    <mergeCell ref="BJ46:BM46"/>
    <mergeCell ref="BN46:BQ46"/>
    <mergeCell ref="BR46:BU46"/>
    <mergeCell ref="BV46:BY46"/>
    <mergeCell ref="AD46:AG46"/>
    <mergeCell ref="AH46:AK46"/>
    <mergeCell ref="AL46:AO46"/>
    <mergeCell ref="AP46:AS46"/>
    <mergeCell ref="AT46:AW46"/>
    <mergeCell ref="AX46:BA46"/>
    <mergeCell ref="F46:I46"/>
    <mergeCell ref="J46:M46"/>
    <mergeCell ref="BJ47:BM47"/>
    <mergeCell ref="BN47:BQ47"/>
    <mergeCell ref="BR47:BU47"/>
    <mergeCell ref="BV47:BY47"/>
    <mergeCell ref="BZ47:CC47"/>
    <mergeCell ref="CD47:CG47"/>
    <mergeCell ref="AL47:AO47"/>
    <mergeCell ref="AP47:AS47"/>
    <mergeCell ref="AT47:AW47"/>
    <mergeCell ref="AX47:BA47"/>
    <mergeCell ref="BB47:BE47"/>
    <mergeCell ref="BF47:BI47"/>
    <mergeCell ref="F49:I49"/>
    <mergeCell ref="J49:M49"/>
    <mergeCell ref="N49:Q49"/>
    <mergeCell ref="R49:U49"/>
    <mergeCell ref="V49:Y49"/>
    <mergeCell ref="Z49:AC49"/>
    <mergeCell ref="AD49:AG49"/>
    <mergeCell ref="AH49:AK49"/>
    <mergeCell ref="BB48:BE48"/>
    <mergeCell ref="AD48:AG48"/>
    <mergeCell ref="AH48:AK48"/>
    <mergeCell ref="AL48:AO48"/>
    <mergeCell ref="AP48:AS48"/>
    <mergeCell ref="AT48:AW48"/>
    <mergeCell ref="AX48:BA48"/>
    <mergeCell ref="F48:I48"/>
    <mergeCell ref="J48:M48"/>
    <mergeCell ref="N48:Q48"/>
    <mergeCell ref="R48:U48"/>
    <mergeCell ref="V48:Y48"/>
    <mergeCell ref="Z48:AC48"/>
    <mergeCell ref="CD49:CG49"/>
    <mergeCell ref="AL49:AO49"/>
    <mergeCell ref="AP49:AS49"/>
    <mergeCell ref="AT49:AW49"/>
    <mergeCell ref="AX49:BA49"/>
    <mergeCell ref="BB49:BE49"/>
    <mergeCell ref="BF49:BI49"/>
    <mergeCell ref="BZ48:CC48"/>
    <mergeCell ref="CD48:CG48"/>
    <mergeCell ref="BF48:BI48"/>
    <mergeCell ref="BJ48:BM48"/>
    <mergeCell ref="BN48:BQ48"/>
    <mergeCell ref="BR48:BU48"/>
    <mergeCell ref="BV48:BY48"/>
    <mergeCell ref="N50:Q50"/>
    <mergeCell ref="R50:U50"/>
    <mergeCell ref="V50:Y50"/>
    <mergeCell ref="Z50:AC50"/>
    <mergeCell ref="BJ49:BM49"/>
    <mergeCell ref="BN49:BQ49"/>
    <mergeCell ref="BR49:BU49"/>
    <mergeCell ref="BV49:BY49"/>
    <mergeCell ref="BZ49:CC49"/>
    <mergeCell ref="BZ50:CC50"/>
    <mergeCell ref="CD50:CG50"/>
    <mergeCell ref="F51:I51"/>
    <mergeCell ref="J51:M51"/>
    <mergeCell ref="N51:Q51"/>
    <mergeCell ref="R51:U51"/>
    <mergeCell ref="V51:Y51"/>
    <mergeCell ref="Z51:AC51"/>
    <mergeCell ref="AD51:AG51"/>
    <mergeCell ref="AH51:AK51"/>
    <mergeCell ref="BB50:BE50"/>
    <mergeCell ref="BF50:BI50"/>
    <mergeCell ref="BJ50:BM50"/>
    <mergeCell ref="BN50:BQ50"/>
    <mergeCell ref="BR50:BU50"/>
    <mergeCell ref="BV50:BY50"/>
    <mergeCell ref="AD50:AG50"/>
    <mergeCell ref="AH50:AK50"/>
    <mergeCell ref="AL50:AO50"/>
    <mergeCell ref="AP50:AS50"/>
    <mergeCell ref="AT50:AW50"/>
    <mergeCell ref="AX50:BA50"/>
    <mergeCell ref="F50:I50"/>
    <mergeCell ref="J50:M50"/>
    <mergeCell ref="BJ51:BM51"/>
    <mergeCell ref="BN51:BQ51"/>
    <mergeCell ref="BR51:BU51"/>
    <mergeCell ref="BV51:BY51"/>
    <mergeCell ref="BZ51:CC51"/>
    <mergeCell ref="CD51:CG51"/>
    <mergeCell ref="AL51:AO51"/>
    <mergeCell ref="AP51:AS51"/>
    <mergeCell ref="AT51:AW51"/>
    <mergeCell ref="AX51:BA51"/>
    <mergeCell ref="BB51:BE51"/>
    <mergeCell ref="BF51:BI51"/>
    <mergeCell ref="F53:I53"/>
    <mergeCell ref="J53:M53"/>
    <mergeCell ref="N53:Q53"/>
    <mergeCell ref="R53:U53"/>
    <mergeCell ref="V53:Y53"/>
    <mergeCell ref="Z53:AC53"/>
    <mergeCell ref="AD53:AG53"/>
    <mergeCell ref="AH53:AK53"/>
    <mergeCell ref="BB52:BE52"/>
    <mergeCell ref="AD52:AG52"/>
    <mergeCell ref="AH52:AK52"/>
    <mergeCell ref="AL52:AO52"/>
    <mergeCell ref="AP52:AS52"/>
    <mergeCell ref="AT52:AW52"/>
    <mergeCell ref="AX52:BA52"/>
    <mergeCell ref="F52:I52"/>
    <mergeCell ref="J52:M52"/>
    <mergeCell ref="N52:Q52"/>
    <mergeCell ref="R52:U52"/>
    <mergeCell ref="V52:Y52"/>
    <mergeCell ref="Z52:AC52"/>
    <mergeCell ref="CD53:CG53"/>
    <mergeCell ref="AL53:AO53"/>
    <mergeCell ref="AP53:AS53"/>
    <mergeCell ref="AT53:AW53"/>
    <mergeCell ref="AX53:BA53"/>
    <mergeCell ref="BB53:BE53"/>
    <mergeCell ref="BF53:BI53"/>
    <mergeCell ref="BZ52:CC52"/>
    <mergeCell ref="CD52:CG52"/>
    <mergeCell ref="BF52:BI52"/>
    <mergeCell ref="BJ52:BM52"/>
    <mergeCell ref="BN52:BQ52"/>
    <mergeCell ref="BR52:BU52"/>
    <mergeCell ref="BV52:BY52"/>
    <mergeCell ref="N54:Q54"/>
    <mergeCell ref="R54:U54"/>
    <mergeCell ref="V54:Y54"/>
    <mergeCell ref="Z54:AC54"/>
    <mergeCell ref="BJ53:BM53"/>
    <mergeCell ref="BN53:BQ53"/>
    <mergeCell ref="BR53:BU53"/>
    <mergeCell ref="BV53:BY53"/>
    <mergeCell ref="BZ53:CC53"/>
    <mergeCell ref="BZ54:CC54"/>
    <mergeCell ref="CD54:CG54"/>
    <mergeCell ref="F55:I55"/>
    <mergeCell ref="J55:M55"/>
    <mergeCell ref="N55:Q55"/>
    <mergeCell ref="R55:U55"/>
    <mergeCell ref="V55:Y55"/>
    <mergeCell ref="Z55:AC55"/>
    <mergeCell ref="AD55:AG55"/>
    <mergeCell ref="AH55:AK55"/>
    <mergeCell ref="BB54:BE54"/>
    <mergeCell ref="BF54:BI54"/>
    <mergeCell ref="BJ54:BM54"/>
    <mergeCell ref="BN54:BQ54"/>
    <mergeCell ref="BR54:BU54"/>
    <mergeCell ref="BV54:BY54"/>
    <mergeCell ref="AD54:AG54"/>
    <mergeCell ref="AH54:AK54"/>
    <mergeCell ref="AL54:AO54"/>
    <mergeCell ref="AP54:AS54"/>
    <mergeCell ref="AT54:AW54"/>
    <mergeCell ref="AX54:BA54"/>
    <mergeCell ref="F54:I54"/>
    <mergeCell ref="J54:M54"/>
    <mergeCell ref="BJ55:BM55"/>
    <mergeCell ref="BN55:BQ55"/>
    <mergeCell ref="BR55:BU55"/>
    <mergeCell ref="BV55:BY55"/>
    <mergeCell ref="BZ55:CC55"/>
    <mergeCell ref="CD55:CG55"/>
    <mergeCell ref="AL55:AO55"/>
    <mergeCell ref="AP55:AS55"/>
    <mergeCell ref="AT55:AW55"/>
    <mergeCell ref="AX55:BA55"/>
    <mergeCell ref="BB55:BE55"/>
    <mergeCell ref="BF55:BI55"/>
    <mergeCell ref="F57:I57"/>
    <mergeCell ref="J57:M57"/>
    <mergeCell ref="N57:Q57"/>
    <mergeCell ref="R57:U57"/>
    <mergeCell ref="V57:Y57"/>
    <mergeCell ref="Z57:AC57"/>
    <mergeCell ref="AD57:AG57"/>
    <mergeCell ref="AH57:AK57"/>
    <mergeCell ref="BB56:BE56"/>
    <mergeCell ref="AD56:AG56"/>
    <mergeCell ref="AH56:AK56"/>
    <mergeCell ref="AL56:AO56"/>
    <mergeCell ref="AP56:AS56"/>
    <mergeCell ref="AT56:AW56"/>
    <mergeCell ref="AX56:BA56"/>
    <mergeCell ref="F56:I56"/>
    <mergeCell ref="J56:M56"/>
    <mergeCell ref="N56:Q56"/>
    <mergeCell ref="R56:U56"/>
    <mergeCell ref="V56:Y56"/>
    <mergeCell ref="Z56:AC56"/>
    <mergeCell ref="CD57:CG57"/>
    <mergeCell ref="AL57:AO57"/>
    <mergeCell ref="AP57:AS57"/>
    <mergeCell ref="AT57:AW57"/>
    <mergeCell ref="AX57:BA57"/>
    <mergeCell ref="BB57:BE57"/>
    <mergeCell ref="BF57:BI57"/>
    <mergeCell ref="BZ56:CC56"/>
    <mergeCell ref="CD56:CG56"/>
    <mergeCell ref="BF56:BI56"/>
    <mergeCell ref="BJ56:BM56"/>
    <mergeCell ref="BN56:BQ56"/>
    <mergeCell ref="BR56:BU56"/>
    <mergeCell ref="BV56:BY56"/>
    <mergeCell ref="N58:Q58"/>
    <mergeCell ref="R58:U58"/>
    <mergeCell ref="V58:Y58"/>
    <mergeCell ref="Z58:AC58"/>
    <mergeCell ref="BJ57:BM57"/>
    <mergeCell ref="BN57:BQ57"/>
    <mergeCell ref="BR57:BU57"/>
    <mergeCell ref="BV57:BY57"/>
    <mergeCell ref="BZ57:CC57"/>
    <mergeCell ref="BZ58:CC58"/>
    <mergeCell ref="CD58:CG58"/>
    <mergeCell ref="F59:I59"/>
    <mergeCell ref="J59:M59"/>
    <mergeCell ref="N59:Q59"/>
    <mergeCell ref="R59:U59"/>
    <mergeCell ref="V59:Y59"/>
    <mergeCell ref="Z59:AC59"/>
    <mergeCell ref="AD59:AG59"/>
    <mergeCell ref="AH59:AK59"/>
    <mergeCell ref="BB58:BE58"/>
    <mergeCell ref="BF58:BI58"/>
    <mergeCell ref="BJ58:BM58"/>
    <mergeCell ref="BN58:BQ58"/>
    <mergeCell ref="BR58:BU58"/>
    <mergeCell ref="BV58:BY58"/>
    <mergeCell ref="AD58:AG58"/>
    <mergeCell ref="AH58:AK58"/>
    <mergeCell ref="AL58:AO58"/>
    <mergeCell ref="AP58:AS58"/>
    <mergeCell ref="AT58:AW58"/>
    <mergeCell ref="AX58:BA58"/>
    <mergeCell ref="F58:I58"/>
    <mergeCell ref="J58:M58"/>
    <mergeCell ref="BJ59:BM59"/>
    <mergeCell ref="BN59:BQ59"/>
    <mergeCell ref="BR59:BU59"/>
    <mergeCell ref="BV59:BY59"/>
    <mergeCell ref="BZ59:CC59"/>
    <mergeCell ref="CD59:CG59"/>
    <mergeCell ref="AL59:AO59"/>
    <mergeCell ref="AP59:AS59"/>
    <mergeCell ref="AT59:AW59"/>
    <mergeCell ref="AX59:BA59"/>
    <mergeCell ref="BB59:BE59"/>
    <mergeCell ref="BF59:BI59"/>
    <mergeCell ref="F61:I61"/>
    <mergeCell ref="J61:M61"/>
    <mergeCell ref="N61:Q61"/>
    <mergeCell ref="R61:U61"/>
    <mergeCell ref="V61:Y61"/>
    <mergeCell ref="Z61:AC61"/>
    <mergeCell ref="AD61:AG61"/>
    <mergeCell ref="AH61:AK61"/>
    <mergeCell ref="BB60:BE60"/>
    <mergeCell ref="AD60:AG60"/>
    <mergeCell ref="AH60:AK60"/>
    <mergeCell ref="AL60:AO60"/>
    <mergeCell ref="AP60:AS60"/>
    <mergeCell ref="AT60:AW60"/>
    <mergeCell ref="AX60:BA60"/>
    <mergeCell ref="F60:I60"/>
    <mergeCell ref="J60:M60"/>
    <mergeCell ref="N60:Q60"/>
    <mergeCell ref="R60:U60"/>
    <mergeCell ref="V60:Y60"/>
    <mergeCell ref="Z60:AC60"/>
    <mergeCell ref="CD61:CG61"/>
    <mergeCell ref="AL61:AO61"/>
    <mergeCell ref="AP61:AS61"/>
    <mergeCell ref="AT61:AW61"/>
    <mergeCell ref="AX61:BA61"/>
    <mergeCell ref="BB61:BE61"/>
    <mergeCell ref="BF61:BI61"/>
    <mergeCell ref="BZ60:CC60"/>
    <mergeCell ref="CD60:CG60"/>
    <mergeCell ref="BF60:BI60"/>
    <mergeCell ref="BJ60:BM60"/>
    <mergeCell ref="BN60:BQ60"/>
    <mergeCell ref="BR60:BU60"/>
    <mergeCell ref="BV60:BY60"/>
    <mergeCell ref="N62:Q62"/>
    <mergeCell ref="R62:U62"/>
    <mergeCell ref="V62:Y62"/>
    <mergeCell ref="Z62:AC62"/>
    <mergeCell ref="BJ61:BM61"/>
    <mergeCell ref="BN61:BQ61"/>
    <mergeCell ref="BR61:BU61"/>
    <mergeCell ref="BV61:BY61"/>
    <mergeCell ref="BZ61:CC61"/>
    <mergeCell ref="BZ62:CC62"/>
    <mergeCell ref="CD62:CG62"/>
    <mergeCell ref="F63:I63"/>
    <mergeCell ref="J63:M63"/>
    <mergeCell ref="N63:Q63"/>
    <mergeCell ref="R63:U63"/>
    <mergeCell ref="V63:Y63"/>
    <mergeCell ref="Z63:AC63"/>
    <mergeCell ref="AD63:AG63"/>
    <mergeCell ref="AH63:AK63"/>
    <mergeCell ref="BB62:BE62"/>
    <mergeCell ref="BF62:BI62"/>
    <mergeCell ref="BJ62:BM62"/>
    <mergeCell ref="BN62:BQ62"/>
    <mergeCell ref="BR62:BU62"/>
    <mergeCell ref="BV62:BY62"/>
    <mergeCell ref="AD62:AG62"/>
    <mergeCell ref="AH62:AK62"/>
    <mergeCell ref="AL62:AO62"/>
    <mergeCell ref="AP62:AS62"/>
    <mergeCell ref="AT62:AW62"/>
    <mergeCell ref="AX62:BA62"/>
    <mergeCell ref="F62:I62"/>
    <mergeCell ref="J62:M62"/>
    <mergeCell ref="BJ63:BM63"/>
    <mergeCell ref="BN63:BQ63"/>
    <mergeCell ref="BR63:BU63"/>
    <mergeCell ref="BV63:BY63"/>
    <mergeCell ref="BZ63:CC63"/>
    <mergeCell ref="CD63:CG63"/>
    <mergeCell ref="AL63:AO63"/>
    <mergeCell ref="AP63:AS63"/>
    <mergeCell ref="AT63:AW63"/>
    <mergeCell ref="AX63:BA63"/>
    <mergeCell ref="BB63:BE63"/>
    <mergeCell ref="BF63:BI63"/>
    <mergeCell ref="C66:D66"/>
    <mergeCell ref="F66:I66"/>
    <mergeCell ref="J66:M66"/>
    <mergeCell ref="N66:Q66"/>
    <mergeCell ref="R66:U66"/>
    <mergeCell ref="V66:Y66"/>
    <mergeCell ref="Z66:AC66"/>
    <mergeCell ref="AX65:BA65"/>
    <mergeCell ref="BB65:BE65"/>
    <mergeCell ref="Z65:AC65"/>
    <mergeCell ref="AD65:AG65"/>
    <mergeCell ref="AH65:AK65"/>
    <mergeCell ref="AL65:AO65"/>
    <mergeCell ref="AP65:AS65"/>
    <mergeCell ref="AT65:AW65"/>
    <mergeCell ref="C65:D65"/>
    <mergeCell ref="F65:I65"/>
    <mergeCell ref="J65:M65"/>
    <mergeCell ref="N65:Q65"/>
    <mergeCell ref="R65:U65"/>
    <mergeCell ref="V65:Y65"/>
    <mergeCell ref="BV66:BY66"/>
    <mergeCell ref="BZ66:CC66"/>
    <mergeCell ref="CD66:CG66"/>
    <mergeCell ref="BB66:BE66"/>
    <mergeCell ref="BF66:BI66"/>
    <mergeCell ref="BJ66:BM66"/>
    <mergeCell ref="BN66:BQ66"/>
    <mergeCell ref="BV65:BY65"/>
    <mergeCell ref="BZ65:CC65"/>
    <mergeCell ref="CD65:CG65"/>
    <mergeCell ref="BF65:BI65"/>
    <mergeCell ref="BJ65:BM65"/>
    <mergeCell ref="BN65:BQ65"/>
    <mergeCell ref="BR65:BU65"/>
    <mergeCell ref="F68:I68"/>
    <mergeCell ref="AG68:BD69"/>
    <mergeCell ref="F69:I69"/>
    <mergeCell ref="BR66:BU66"/>
    <mergeCell ref="AL66:AO66"/>
    <mergeCell ref="AP66:AS66"/>
    <mergeCell ref="AT66:AW66"/>
    <mergeCell ref="AX66:BA66"/>
    <mergeCell ref="AD66:AG66"/>
    <mergeCell ref="AH66:AK66"/>
  </mergeCells>
  <phoneticPr fontId="0" type="noConversion"/>
  <dataValidations count="4">
    <dataValidation type="list" allowBlank="1" showInputMessage="1" showErrorMessage="1" sqref="CI44:CI63 CK44:CO63" xr:uid="{00000000-0002-0000-0000-000000000000}">
      <formula1>$B$74:$B$78</formula1>
    </dataValidation>
    <dataValidation type="list" showInputMessage="1" showErrorMessage="1" sqref="I39:J40 AS3:AT4 AU5:AV6 AM9:AN10 AQ9:AR10 BA11:BB12 AU13:AV14 AO15:AP16 AC19:AD20 AG19:AH20 BK21:BL22 BE23:BF24 AY25:AZ26 AS27:AT28 AM29:AN30 AG31:AH32 AA33:AB34 U35:V36 K37:L38 AE17:AF18 AK15:AL16 BE15:BF16 AI17:AJ18 BG17:BH18 BC17:BD18 AY17:AZ18 AU17:AV18 AQ17:AR18 AM17:AN18 BI19:BJ20 BE19:BF20 BA19:BB20 AW19:AX20 AS19:AT20 AO19:AP20 AK19:AL20 AA21:AB22 BG21:BH22 BC21:BD22 AY21:AZ22 AU21:AV22 AQ21:AR22 AM21:AN22 AI21:AJ22 Y23:Z24 AE21:AF22 BA23:BB24 AW23:AX24 AS23:AT24 AO23:AP24 AK23:AL24 AG23:AH24 W25:X26 AC23:AD24 BM23:BN24 BI23:BJ24 AU25:AV26 AQ25:AR26 AM25:AN26 AI25:AJ26 AE25:AF26 U27:V28 AA25:AB26 BO25:BP26 BK25:BL26 BG25:BH26 BC25:BD26 AO27:AP28 AK27:AL28 AG27:AH28 AC27:AD28 S29:T30 Y27:Z28 BQ27:BR28 BM27:BN28 BI27:BJ28 BE27:BF28 BA27:BB28 AW27:AX28 AI29:AJ30 AE29:AF30 AA29:AB30 Q31:R32 W29:X30 BS29:BT30 BO29:BP30 BK29:BL30 BG29:BH30 BC29:BD30 AY29:AZ30 AU29:AV30 AQ29:AR30 AC31:AD32 Y31:Z32 O33:P34 U31:V32 BU31:BV32 BQ31:BR32 BM31:BN32 BI31:BJ32 BE31:BF32 BA31:BB32 AW31:AX32 AS31:AT32 AO31:AP32 AK31:AL32 W33:X34 AQ5:AR6 S33:T34 BW33:BX34 BS33:BT34 BO33:BP34 BK33:BL34 BG33:BH34 BC33:BD34 AY33:AZ34 AU33:AV34 AQ33:AR34 AM33:AN34 AI33:AJ34 AE33:AF34 M35:N36 Q35:R36 BY35:BZ36 BU35:BV36 BQ35:BR36 BM35:BN36 BI35:BJ36 BE35:BF36 BA35:BB36 AW35:AX36 AS35:AT36 AO35:AP36 AK35:AL36 AG35:AH36 AC35:AD36 Y35:Z36 O37:P38 BW37:BX38 BS37:BT38 BO37:BP38 BK37:BL38 BG37:BH38 BC37:BD38 AY37:AZ38 AU37:AV38 AQ37:AR38 AM37:AN38 AI37:AJ38 AE37:AF38 AA37:AB38 W37:X38 S37:T38 M39:N40 AS7:AT8 AW7:AX8 AY9:AZ10 AU9:AV10 AK11:AL12 AW11:AX12 AS11:AT12 AI13:AJ14 AO11:AP12 AQ13:AR14 AG15:AH16 AM13:AN14 BC13:BD14 AY13:AZ14 BA15:BB16 AW15:AX16 AS15:AT16 BY39:BZ40 BU39:BV40 BQ39:BR40 BM39:BN40 BI39:BJ40 BE39:BF40 BA39:BB40 AW39:AX40 AS39:AT40 AO39:AP40 AK39:AL40 AG39:AH40 AC39:AD40 Y39:Z40 U39:V40 Q39:R40 AO7:AP8" xr:uid="{00000000-0002-0000-0000-000001000000}">
      <formula1>$E$74:$E$80</formula1>
    </dataValidation>
    <dataValidation type="list" showInputMessage="1" showErrorMessage="1" sqref="CA37:CB38 CC39:CD40" xr:uid="{00000000-0002-0000-0000-000002000000}">
      <formula1>$E$73:$E$80</formula1>
    </dataValidation>
    <dataValidation type="list" allowBlank="1" showInputMessage="1" showErrorMessage="1" sqref="F44:CG63" xr:uid="{00000000-0002-0000-0000-000003000000}">
      <formula1>$E$74:$E$80</formula1>
    </dataValidation>
  </dataValidations>
  <pageMargins left="0.75" right="0.75" top="1" bottom="1" header="0.5" footer="0.5"/>
  <pageSetup scale="36" orientation="portrait" horizontalDpi="300" verticalDpi="300"/>
  <headerFooter alignWithMargins="0">
    <oddFooter>&amp;C&amp;8Page &amp;P of &amp;N&amp;R&amp;8QFD Template
Copyright 2004, MoreStea.com, LLC
All Rights Reserved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DR218"/>
  <sheetViews>
    <sheetView showGridLines="0" showRowColHeaders="0" zoomScale="50" workbookViewId="0">
      <selection activeCell="C42" sqref="C42"/>
    </sheetView>
  </sheetViews>
  <sheetFormatPr baseColWidth="10" defaultColWidth="9.1640625" defaultRowHeight="16"/>
  <cols>
    <col min="1" max="1" width="2.6640625" style="1" customWidth="1"/>
    <col min="2" max="2" width="5" style="1" customWidth="1"/>
    <col min="3" max="3" width="34.1640625" style="1" customWidth="1"/>
    <col min="4" max="4" width="1.33203125" style="1" customWidth="1"/>
    <col min="5" max="5" width="7" style="1" customWidth="1"/>
    <col min="6" max="85" width="1.6640625" style="1" customWidth="1"/>
    <col min="86" max="86" width="1.5" style="1" customWidth="1"/>
    <col min="87" max="87" width="7.33203125" style="1" customWidth="1"/>
    <col min="88" max="88" width="4.83203125" style="1" customWidth="1"/>
    <col min="89" max="89" width="2.1640625" style="1" customWidth="1"/>
    <col min="90" max="94" width="4.5" style="1" customWidth="1"/>
    <col min="95" max="95" width="7.5" style="1" customWidth="1"/>
    <col min="96" max="96" width="3.6640625" style="1" customWidth="1"/>
    <col min="97" max="16384" width="9.1640625" style="1"/>
  </cols>
  <sheetData>
    <row r="1" spans="1:94" ht="20">
      <c r="A1" s="119" t="s">
        <v>0</v>
      </c>
      <c r="B1" s="120"/>
      <c r="C1" s="120"/>
      <c r="D1" s="121" t="str">
        <f>'QFD First House'!$D$1</f>
        <v>Enter Name Here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spans="1:94" ht="8" customHeight="1">
      <c r="A2" s="120"/>
      <c r="B2" s="120"/>
      <c r="C2" s="120"/>
      <c r="D2" s="2"/>
      <c r="AR2" s="3"/>
      <c r="AS2" s="4"/>
      <c r="AT2" s="5"/>
      <c r="AU2" s="3"/>
    </row>
    <row r="3" spans="1:94" ht="8" customHeight="1">
      <c r="F3" s="1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4"/>
      <c r="AR3" s="15"/>
      <c r="AS3" s="89"/>
      <c r="AT3" s="90"/>
      <c r="AU3" s="16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7"/>
      <c r="BZ3" s="17"/>
    </row>
    <row r="4" spans="1:94" ht="8" customHeight="1">
      <c r="F4" s="17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4"/>
      <c r="AQ4" s="15"/>
      <c r="AR4" s="16"/>
      <c r="AS4" s="90"/>
      <c r="AT4" s="90"/>
      <c r="AU4" s="15"/>
      <c r="AV4" s="16"/>
      <c r="AW4" s="14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7"/>
      <c r="BZ4" s="17"/>
    </row>
    <row r="5" spans="1:94" ht="8" customHeight="1">
      <c r="F5" s="29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P5" s="15"/>
      <c r="AQ5" s="89"/>
      <c r="AR5" s="90"/>
      <c r="AS5" s="91"/>
      <c r="AT5" s="92"/>
      <c r="AU5" s="89"/>
      <c r="AV5" s="90"/>
      <c r="AW5" s="16"/>
      <c r="AX5" s="14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7"/>
      <c r="BZ5" s="17"/>
    </row>
    <row r="6" spans="1:94" ht="8" customHeight="1">
      <c r="C6" s="119" t="s">
        <v>27</v>
      </c>
      <c r="D6" s="120"/>
      <c r="E6" s="120"/>
      <c r="F6" s="29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4"/>
      <c r="AO6" s="15"/>
      <c r="AP6" s="16"/>
      <c r="AQ6" s="90"/>
      <c r="AR6" s="90"/>
      <c r="AS6" s="92"/>
      <c r="AT6" s="92"/>
      <c r="AU6" s="90"/>
      <c r="AV6" s="90"/>
      <c r="AW6" s="15"/>
      <c r="AX6" s="16"/>
      <c r="AY6" s="14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7"/>
      <c r="BZ6" s="17"/>
    </row>
    <row r="7" spans="1:94" ht="8" customHeight="1">
      <c r="C7" s="120"/>
      <c r="D7" s="120"/>
      <c r="E7" s="120"/>
      <c r="F7" s="29"/>
      <c r="G7" s="12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4"/>
      <c r="AN7" s="15"/>
      <c r="AO7" s="89"/>
      <c r="AP7" s="90"/>
      <c r="AQ7" s="91"/>
      <c r="AR7" s="92"/>
      <c r="AS7" s="89"/>
      <c r="AT7" s="90"/>
      <c r="AU7" s="91"/>
      <c r="AV7" s="92"/>
      <c r="AW7" s="89"/>
      <c r="AX7" s="90"/>
      <c r="AY7" s="16"/>
      <c r="AZ7" s="14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7"/>
      <c r="BZ7" s="17"/>
    </row>
    <row r="8" spans="1:94" ht="8" customHeight="1">
      <c r="F8" s="17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4"/>
      <c r="AM8" s="15"/>
      <c r="AN8" s="16"/>
      <c r="AO8" s="90"/>
      <c r="AP8" s="90"/>
      <c r="AQ8" s="92"/>
      <c r="AR8" s="92"/>
      <c r="AS8" s="90"/>
      <c r="AT8" s="90"/>
      <c r="AU8" s="92"/>
      <c r="AV8" s="92"/>
      <c r="AW8" s="90"/>
      <c r="AX8" s="90"/>
      <c r="AY8" s="15"/>
      <c r="AZ8" s="16"/>
      <c r="BA8" s="14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7"/>
      <c r="BZ8" s="17"/>
      <c r="CA8" s="117" t="s">
        <v>3</v>
      </c>
      <c r="CB8" s="94"/>
      <c r="CC8" s="94"/>
      <c r="CD8" s="118"/>
    </row>
    <row r="9" spans="1:94" ht="8" customHeight="1">
      <c r="F9" s="17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5"/>
      <c r="AM9" s="89"/>
      <c r="AN9" s="90"/>
      <c r="AO9" s="91"/>
      <c r="AP9" s="92"/>
      <c r="AQ9" s="89"/>
      <c r="AR9" s="90"/>
      <c r="AS9" s="91"/>
      <c r="AT9" s="92"/>
      <c r="AU9" s="89"/>
      <c r="AV9" s="90"/>
      <c r="AW9" s="91"/>
      <c r="AX9" s="92"/>
      <c r="AY9" s="89"/>
      <c r="AZ9" s="90"/>
      <c r="BA9" s="16"/>
      <c r="BB9" s="14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7"/>
      <c r="BZ9" s="17"/>
      <c r="CA9" s="94"/>
      <c r="CB9" s="94"/>
      <c r="CC9" s="94"/>
      <c r="CD9" s="1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</row>
    <row r="10" spans="1:94" ht="8" customHeight="1">
      <c r="F10" s="17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4"/>
      <c r="AK10" s="15"/>
      <c r="AL10" s="16"/>
      <c r="AM10" s="90"/>
      <c r="AN10" s="90"/>
      <c r="AO10" s="92"/>
      <c r="AP10" s="92"/>
      <c r="AQ10" s="90"/>
      <c r="AR10" s="90"/>
      <c r="AS10" s="92"/>
      <c r="AT10" s="92"/>
      <c r="AU10" s="90"/>
      <c r="AV10" s="90"/>
      <c r="AW10" s="92"/>
      <c r="AX10" s="92"/>
      <c r="AY10" s="90"/>
      <c r="AZ10" s="90"/>
      <c r="BA10" s="15"/>
      <c r="BB10" s="16"/>
      <c r="BC10" s="14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7"/>
      <c r="BZ10" s="17"/>
      <c r="CA10" s="18"/>
      <c r="CB10" s="18"/>
      <c r="CC10" s="100" t="s">
        <v>4</v>
      </c>
      <c r="CD10" s="101"/>
      <c r="CE10" s="101"/>
      <c r="CF10" s="101"/>
      <c r="CG10" s="101"/>
      <c r="CH10" s="101"/>
      <c r="CI10" s="101"/>
      <c r="CJ10" s="101"/>
      <c r="CK10" s="101"/>
      <c r="CL10" s="101"/>
      <c r="CM10" s="102"/>
      <c r="CN10" s="102"/>
      <c r="CO10" s="103"/>
      <c r="CP10" s="115" t="s">
        <v>5</v>
      </c>
    </row>
    <row r="11" spans="1:94" ht="8" customHeight="1">
      <c r="F11" s="17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5"/>
      <c r="AK11" s="89"/>
      <c r="AL11" s="90"/>
      <c r="AM11" s="91"/>
      <c r="AN11" s="92"/>
      <c r="AO11" s="89"/>
      <c r="AP11" s="90"/>
      <c r="AQ11" s="91"/>
      <c r="AR11" s="92"/>
      <c r="AS11" s="89"/>
      <c r="AT11" s="90"/>
      <c r="AU11" s="91"/>
      <c r="AV11" s="92"/>
      <c r="AW11" s="89"/>
      <c r="AX11" s="90"/>
      <c r="AY11" s="91"/>
      <c r="AZ11" s="92"/>
      <c r="BA11" s="89"/>
      <c r="BB11" s="90"/>
      <c r="BC11" s="16"/>
      <c r="BD11" s="14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7"/>
      <c r="BZ11" s="17"/>
      <c r="CA11" s="18"/>
      <c r="CB11" s="18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2"/>
      <c r="CN11" s="102"/>
      <c r="CO11" s="103"/>
      <c r="CP11" s="116"/>
    </row>
    <row r="12" spans="1:94" ht="8" customHeight="1">
      <c r="F12" s="17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15"/>
      <c r="AJ12" s="16"/>
      <c r="AK12" s="90"/>
      <c r="AL12" s="90"/>
      <c r="AM12" s="92"/>
      <c r="AN12" s="92"/>
      <c r="AO12" s="90"/>
      <c r="AP12" s="90"/>
      <c r="AQ12" s="92"/>
      <c r="AR12" s="92"/>
      <c r="AS12" s="90"/>
      <c r="AT12" s="90"/>
      <c r="AU12" s="92"/>
      <c r="AV12" s="92"/>
      <c r="AW12" s="90"/>
      <c r="AX12" s="90"/>
      <c r="AY12" s="92"/>
      <c r="AZ12" s="92"/>
      <c r="BA12" s="90"/>
      <c r="BB12" s="90"/>
      <c r="BC12" s="15"/>
      <c r="BD12" s="16"/>
      <c r="BE12" s="14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7"/>
      <c r="BZ12" s="17"/>
      <c r="CA12" s="18"/>
      <c r="CB12" s="18"/>
      <c r="CC12" s="100" t="s">
        <v>6</v>
      </c>
      <c r="CD12" s="101"/>
      <c r="CE12" s="101"/>
      <c r="CF12" s="101"/>
      <c r="CG12" s="101"/>
      <c r="CH12" s="101"/>
      <c r="CI12" s="101"/>
      <c r="CJ12" s="101"/>
      <c r="CK12" s="101"/>
      <c r="CL12" s="101"/>
      <c r="CM12" s="102"/>
      <c r="CN12" s="102"/>
      <c r="CO12" s="103"/>
      <c r="CP12" s="113" t="s">
        <v>7</v>
      </c>
    </row>
    <row r="13" spans="1:94" ht="8" customHeight="1">
      <c r="F13" s="1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4"/>
      <c r="AH13" s="15"/>
      <c r="AI13" s="89"/>
      <c r="AJ13" s="90"/>
      <c r="AK13" s="91"/>
      <c r="AL13" s="92"/>
      <c r="AM13" s="89"/>
      <c r="AN13" s="90"/>
      <c r="AO13" s="91"/>
      <c r="AP13" s="92"/>
      <c r="AQ13" s="89"/>
      <c r="AR13" s="90"/>
      <c r="AS13" s="91"/>
      <c r="AT13" s="92"/>
      <c r="AU13" s="89"/>
      <c r="AV13" s="90"/>
      <c r="AW13" s="91"/>
      <c r="AX13" s="92"/>
      <c r="AY13" s="89"/>
      <c r="AZ13" s="90"/>
      <c r="BA13" s="91"/>
      <c r="BB13" s="92"/>
      <c r="BC13" s="89"/>
      <c r="BD13" s="90"/>
      <c r="BE13" s="16"/>
      <c r="BF13" s="14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7"/>
      <c r="BZ13" s="17"/>
      <c r="CA13" s="18"/>
      <c r="CB13" s="18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2"/>
      <c r="CN13" s="102"/>
      <c r="CO13" s="103"/>
      <c r="CP13" s="114"/>
    </row>
    <row r="14" spans="1:94" ht="8" customHeight="1">
      <c r="F14" s="1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  <c r="AG14" s="15"/>
      <c r="AH14" s="16"/>
      <c r="AI14" s="90"/>
      <c r="AJ14" s="90"/>
      <c r="AK14" s="92"/>
      <c r="AL14" s="92"/>
      <c r="AM14" s="90"/>
      <c r="AN14" s="90"/>
      <c r="AO14" s="92"/>
      <c r="AP14" s="92"/>
      <c r="AQ14" s="90"/>
      <c r="AR14" s="90"/>
      <c r="AS14" s="92"/>
      <c r="AT14" s="92"/>
      <c r="AU14" s="90"/>
      <c r="AV14" s="90"/>
      <c r="AW14" s="92"/>
      <c r="AX14" s="92"/>
      <c r="AY14" s="90"/>
      <c r="AZ14" s="90"/>
      <c r="BA14" s="92"/>
      <c r="BB14" s="92"/>
      <c r="BC14" s="90"/>
      <c r="BD14" s="90"/>
      <c r="BE14" s="15"/>
      <c r="BF14" s="16"/>
      <c r="BG14" s="14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7"/>
      <c r="BZ14" s="17"/>
      <c r="CA14" s="18"/>
      <c r="CB14" s="18"/>
      <c r="CC14" s="100" t="s">
        <v>8</v>
      </c>
      <c r="CD14" s="101"/>
      <c r="CE14" s="101"/>
      <c r="CF14" s="101"/>
      <c r="CG14" s="101"/>
      <c r="CH14" s="101"/>
      <c r="CI14" s="101"/>
      <c r="CJ14" s="101"/>
      <c r="CK14" s="101"/>
      <c r="CL14" s="101"/>
      <c r="CM14" s="102"/>
      <c r="CN14" s="102"/>
      <c r="CO14" s="103"/>
      <c r="CP14" s="111" t="s">
        <v>9</v>
      </c>
    </row>
    <row r="15" spans="1:94" ht="8" customHeight="1">
      <c r="F15" s="17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4"/>
      <c r="AF15" s="15"/>
      <c r="AG15" s="89"/>
      <c r="AH15" s="90"/>
      <c r="AI15" s="91"/>
      <c r="AJ15" s="92"/>
      <c r="AK15" s="89"/>
      <c r="AL15" s="90"/>
      <c r="AM15" s="91"/>
      <c r="AN15" s="92"/>
      <c r="AO15" s="89"/>
      <c r="AP15" s="90"/>
      <c r="AQ15" s="91"/>
      <c r="AR15" s="92"/>
      <c r="AS15" s="89"/>
      <c r="AT15" s="90"/>
      <c r="AU15" s="91"/>
      <c r="AV15" s="92"/>
      <c r="AW15" s="89"/>
      <c r="AX15" s="90"/>
      <c r="AY15" s="91"/>
      <c r="AZ15" s="92"/>
      <c r="BA15" s="89"/>
      <c r="BB15" s="90"/>
      <c r="BC15" s="91"/>
      <c r="BD15" s="92"/>
      <c r="BE15" s="89"/>
      <c r="BF15" s="90"/>
      <c r="BG15" s="16"/>
      <c r="BH15" s="14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7"/>
      <c r="BZ15" s="17"/>
      <c r="CA15" s="18"/>
      <c r="CB15" s="18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2"/>
      <c r="CN15" s="102"/>
      <c r="CO15" s="103"/>
      <c r="CP15" s="112"/>
    </row>
    <row r="16" spans="1:94" ht="8" customHeight="1">
      <c r="F16" s="17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4"/>
      <c r="AE16" s="15"/>
      <c r="AF16" s="16"/>
      <c r="AG16" s="90"/>
      <c r="AH16" s="90"/>
      <c r="AI16" s="92"/>
      <c r="AJ16" s="92"/>
      <c r="AK16" s="90"/>
      <c r="AL16" s="90"/>
      <c r="AM16" s="92"/>
      <c r="AN16" s="92"/>
      <c r="AO16" s="90"/>
      <c r="AP16" s="90"/>
      <c r="AQ16" s="92"/>
      <c r="AR16" s="92"/>
      <c r="AS16" s="90"/>
      <c r="AT16" s="90"/>
      <c r="AU16" s="92"/>
      <c r="AV16" s="92"/>
      <c r="AW16" s="90"/>
      <c r="AX16" s="90"/>
      <c r="AY16" s="92"/>
      <c r="AZ16" s="92"/>
      <c r="BA16" s="90"/>
      <c r="BB16" s="90"/>
      <c r="BC16" s="92"/>
      <c r="BD16" s="92"/>
      <c r="BE16" s="90"/>
      <c r="BF16" s="90"/>
      <c r="BG16" s="15"/>
      <c r="BH16" s="16"/>
      <c r="BI16" s="14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7"/>
      <c r="BZ16" s="17"/>
      <c r="CC16" s="100" t="s">
        <v>10</v>
      </c>
      <c r="CD16" s="101"/>
      <c r="CE16" s="101"/>
      <c r="CF16" s="101"/>
      <c r="CG16" s="101"/>
      <c r="CH16" s="101"/>
      <c r="CI16" s="101"/>
      <c r="CJ16" s="101"/>
      <c r="CK16" s="101"/>
      <c r="CL16" s="101"/>
      <c r="CM16" s="102"/>
      <c r="CN16" s="102"/>
      <c r="CO16" s="103"/>
      <c r="CP16" s="110"/>
    </row>
    <row r="17" spans="1:122" ht="8" customHeight="1">
      <c r="F17" s="17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5"/>
      <c r="AE17" s="89"/>
      <c r="AF17" s="90"/>
      <c r="AG17" s="91"/>
      <c r="AH17" s="92"/>
      <c r="AI17" s="89"/>
      <c r="AJ17" s="90"/>
      <c r="AK17" s="91"/>
      <c r="AL17" s="92"/>
      <c r="AM17" s="89"/>
      <c r="AN17" s="90"/>
      <c r="AO17" s="91"/>
      <c r="AP17" s="92"/>
      <c r="AQ17" s="89"/>
      <c r="AR17" s="90"/>
      <c r="AS17" s="91"/>
      <c r="AT17" s="92"/>
      <c r="AU17" s="89"/>
      <c r="AV17" s="90"/>
      <c r="AW17" s="91"/>
      <c r="AX17" s="92"/>
      <c r="AY17" s="89"/>
      <c r="AZ17" s="90"/>
      <c r="BA17" s="91"/>
      <c r="BB17" s="92"/>
      <c r="BC17" s="89"/>
      <c r="BD17" s="90"/>
      <c r="BE17" s="91"/>
      <c r="BF17" s="92"/>
      <c r="BG17" s="89"/>
      <c r="BH17" s="90"/>
      <c r="BI17" s="16"/>
      <c r="BJ17" s="14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7"/>
      <c r="BZ17" s="17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2"/>
      <c r="CN17" s="102"/>
      <c r="CO17" s="103"/>
      <c r="CP17" s="110"/>
    </row>
    <row r="18" spans="1:122" ht="8" customHeight="1">
      <c r="F18" s="17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5"/>
      <c r="AD18" s="16"/>
      <c r="AE18" s="90"/>
      <c r="AF18" s="90"/>
      <c r="AG18" s="92"/>
      <c r="AH18" s="92"/>
      <c r="AI18" s="90"/>
      <c r="AJ18" s="90"/>
      <c r="AK18" s="92"/>
      <c r="AL18" s="92"/>
      <c r="AM18" s="90"/>
      <c r="AN18" s="90"/>
      <c r="AO18" s="92"/>
      <c r="AP18" s="92"/>
      <c r="AQ18" s="90"/>
      <c r="AR18" s="90"/>
      <c r="AS18" s="92"/>
      <c r="AT18" s="92"/>
      <c r="AU18" s="90"/>
      <c r="AV18" s="90"/>
      <c r="AW18" s="92"/>
      <c r="AX18" s="92"/>
      <c r="AY18" s="90"/>
      <c r="AZ18" s="90"/>
      <c r="BA18" s="92"/>
      <c r="BB18" s="92"/>
      <c r="BC18" s="90"/>
      <c r="BD18" s="90"/>
      <c r="BE18" s="92"/>
      <c r="BF18" s="92"/>
      <c r="BG18" s="90"/>
      <c r="BH18" s="90"/>
      <c r="BI18" s="15"/>
      <c r="BJ18" s="16"/>
      <c r="BK18" s="14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7"/>
      <c r="BZ18" s="17"/>
      <c r="CC18" s="100" t="s">
        <v>15</v>
      </c>
      <c r="CD18" s="101"/>
      <c r="CE18" s="101"/>
      <c r="CF18" s="101"/>
      <c r="CG18" s="101"/>
      <c r="CH18" s="101"/>
      <c r="CI18" s="101"/>
      <c r="CJ18" s="101"/>
      <c r="CK18" s="101"/>
      <c r="CL18" s="101"/>
      <c r="CM18" s="102"/>
      <c r="CN18" s="102"/>
      <c r="CO18" s="103"/>
      <c r="CP18" s="108" t="s">
        <v>12</v>
      </c>
    </row>
    <row r="19" spans="1:122" ht="8" customHeight="1">
      <c r="F19" s="17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5"/>
      <c r="AC19" s="89"/>
      <c r="AD19" s="90"/>
      <c r="AE19" s="91"/>
      <c r="AF19" s="92"/>
      <c r="AG19" s="89"/>
      <c r="AH19" s="90"/>
      <c r="AI19" s="91"/>
      <c r="AJ19" s="92"/>
      <c r="AK19" s="89"/>
      <c r="AL19" s="90"/>
      <c r="AM19" s="91"/>
      <c r="AN19" s="92"/>
      <c r="AO19" s="89"/>
      <c r="AP19" s="90"/>
      <c r="AQ19" s="91"/>
      <c r="AR19" s="92"/>
      <c r="AS19" s="89"/>
      <c r="AT19" s="90"/>
      <c r="AU19" s="91"/>
      <c r="AV19" s="92"/>
      <c r="AW19" s="89"/>
      <c r="AX19" s="90"/>
      <c r="AY19" s="91"/>
      <c r="AZ19" s="92"/>
      <c r="BA19" s="89"/>
      <c r="BB19" s="90"/>
      <c r="BC19" s="91"/>
      <c r="BD19" s="92"/>
      <c r="BE19" s="89"/>
      <c r="BF19" s="90"/>
      <c r="BG19" s="91"/>
      <c r="BH19" s="92"/>
      <c r="BI19" s="89"/>
      <c r="BJ19" s="90"/>
      <c r="BK19" s="16"/>
      <c r="BL19" s="14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7"/>
      <c r="BZ19" s="17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2"/>
      <c r="CN19" s="102"/>
      <c r="CO19" s="103"/>
      <c r="CP19" s="109"/>
    </row>
    <row r="20" spans="1:122" ht="8" customHeight="1">
      <c r="F20" s="17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  <c r="AA20" s="15"/>
      <c r="AB20" s="16"/>
      <c r="AC20" s="90"/>
      <c r="AD20" s="90"/>
      <c r="AE20" s="92"/>
      <c r="AF20" s="92"/>
      <c r="AG20" s="90"/>
      <c r="AH20" s="90"/>
      <c r="AI20" s="92"/>
      <c r="AJ20" s="92"/>
      <c r="AK20" s="90"/>
      <c r="AL20" s="90"/>
      <c r="AM20" s="92"/>
      <c r="AN20" s="92"/>
      <c r="AO20" s="90"/>
      <c r="AP20" s="90"/>
      <c r="AQ20" s="92"/>
      <c r="AR20" s="92"/>
      <c r="AS20" s="90"/>
      <c r="AT20" s="90"/>
      <c r="AU20" s="92"/>
      <c r="AV20" s="92"/>
      <c r="AW20" s="90"/>
      <c r="AX20" s="90"/>
      <c r="AY20" s="92"/>
      <c r="AZ20" s="92"/>
      <c r="BA20" s="90"/>
      <c r="BB20" s="90"/>
      <c r="BC20" s="92"/>
      <c r="BD20" s="92"/>
      <c r="BE20" s="90"/>
      <c r="BF20" s="90"/>
      <c r="BG20" s="92"/>
      <c r="BH20" s="92"/>
      <c r="BI20" s="90"/>
      <c r="BJ20" s="90"/>
      <c r="BK20" s="15"/>
      <c r="BL20" s="16"/>
      <c r="BM20" s="14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7"/>
      <c r="BZ20" s="17"/>
      <c r="CC20" s="100" t="s">
        <v>13</v>
      </c>
      <c r="CD20" s="101"/>
      <c r="CE20" s="101"/>
      <c r="CF20" s="101"/>
      <c r="CG20" s="101"/>
      <c r="CH20" s="101"/>
      <c r="CI20" s="101"/>
      <c r="CJ20" s="101"/>
      <c r="CK20" s="101"/>
      <c r="CL20" s="101"/>
      <c r="CM20" s="102"/>
      <c r="CN20" s="102"/>
      <c r="CO20" s="103"/>
      <c r="CP20" s="104" t="s">
        <v>14</v>
      </c>
    </row>
    <row r="21" spans="1:122" s="22" customFormat="1" ht="8" customHeight="1">
      <c r="A21" s="19"/>
      <c r="B21" s="19"/>
      <c r="C21" s="19"/>
      <c r="D21" s="19"/>
      <c r="E21" s="19"/>
      <c r="F21" s="2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4"/>
      <c r="Z21" s="15"/>
      <c r="AA21" s="89"/>
      <c r="AB21" s="90"/>
      <c r="AC21" s="91"/>
      <c r="AD21" s="92"/>
      <c r="AE21" s="89"/>
      <c r="AF21" s="90"/>
      <c r="AG21" s="91"/>
      <c r="AH21" s="92"/>
      <c r="AI21" s="89"/>
      <c r="AJ21" s="90"/>
      <c r="AK21" s="91"/>
      <c r="AL21" s="92"/>
      <c r="AM21" s="89"/>
      <c r="AN21" s="90"/>
      <c r="AO21" s="91"/>
      <c r="AP21" s="92"/>
      <c r="AQ21" s="89"/>
      <c r="AR21" s="90"/>
      <c r="AS21" s="91"/>
      <c r="AT21" s="92"/>
      <c r="AU21" s="89"/>
      <c r="AV21" s="90"/>
      <c r="AW21" s="91"/>
      <c r="AX21" s="92"/>
      <c r="AY21" s="89"/>
      <c r="AZ21" s="90"/>
      <c r="BA21" s="91"/>
      <c r="BB21" s="92"/>
      <c r="BC21" s="89"/>
      <c r="BD21" s="90"/>
      <c r="BE21" s="91"/>
      <c r="BF21" s="92"/>
      <c r="BG21" s="89"/>
      <c r="BH21" s="90"/>
      <c r="BI21" s="91"/>
      <c r="BJ21" s="92"/>
      <c r="BK21" s="89"/>
      <c r="BL21" s="90"/>
      <c r="BM21" s="16"/>
      <c r="BN21" s="14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1"/>
      <c r="BZ21" s="21"/>
      <c r="CA21" s="19"/>
      <c r="CB21" s="19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2"/>
      <c r="CN21" s="102"/>
      <c r="CO21" s="103"/>
      <c r="CP21" s="105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</row>
    <row r="22" spans="1:122" s="22" customFormat="1" ht="8" customHeight="1">
      <c r="A22" s="19"/>
      <c r="E22" s="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14"/>
      <c r="Y22" s="15"/>
      <c r="Z22" s="16"/>
      <c r="AA22" s="90"/>
      <c r="AB22" s="90"/>
      <c r="AC22" s="92"/>
      <c r="AD22" s="92"/>
      <c r="AE22" s="90"/>
      <c r="AF22" s="90"/>
      <c r="AG22" s="92"/>
      <c r="AH22" s="92"/>
      <c r="AI22" s="90"/>
      <c r="AJ22" s="90"/>
      <c r="AK22" s="92"/>
      <c r="AL22" s="92"/>
      <c r="AM22" s="90"/>
      <c r="AN22" s="90"/>
      <c r="AO22" s="92"/>
      <c r="AP22" s="92"/>
      <c r="AQ22" s="90"/>
      <c r="AR22" s="90"/>
      <c r="AS22" s="92"/>
      <c r="AT22" s="92"/>
      <c r="AU22" s="90"/>
      <c r="AV22" s="90"/>
      <c r="AW22" s="92"/>
      <c r="AX22" s="92"/>
      <c r="AY22" s="90"/>
      <c r="AZ22" s="90"/>
      <c r="BA22" s="92"/>
      <c r="BB22" s="92"/>
      <c r="BC22" s="90"/>
      <c r="BD22" s="90"/>
      <c r="BE22" s="92"/>
      <c r="BF22" s="92"/>
      <c r="BG22" s="90"/>
      <c r="BH22" s="90"/>
      <c r="BI22" s="92"/>
      <c r="BJ22" s="92"/>
      <c r="BK22" s="90"/>
      <c r="BL22" s="90"/>
      <c r="BM22" s="15"/>
      <c r="BN22" s="16"/>
      <c r="BO22" s="14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"/>
      <c r="CB22" s="2"/>
      <c r="CC22" s="100" t="s">
        <v>11</v>
      </c>
      <c r="CD22" s="101"/>
      <c r="CE22" s="101"/>
      <c r="CF22" s="101"/>
      <c r="CG22" s="101"/>
      <c r="CH22" s="101"/>
      <c r="CI22" s="101"/>
      <c r="CJ22" s="101"/>
      <c r="CK22" s="101"/>
      <c r="CL22" s="101"/>
      <c r="CM22" s="102"/>
      <c r="CN22" s="102"/>
      <c r="CO22" s="103"/>
      <c r="CP22" s="106" t="s">
        <v>16</v>
      </c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</row>
    <row r="23" spans="1:122" s="22" customFormat="1" ht="8" customHeight="1">
      <c r="A23" s="19"/>
      <c r="E23" s="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14"/>
      <c r="X23" s="15"/>
      <c r="Y23" s="89"/>
      <c r="Z23" s="90"/>
      <c r="AA23" s="91"/>
      <c r="AB23" s="92"/>
      <c r="AC23" s="89"/>
      <c r="AD23" s="90"/>
      <c r="AE23" s="91"/>
      <c r="AF23" s="92"/>
      <c r="AG23" s="89"/>
      <c r="AH23" s="90"/>
      <c r="AI23" s="91"/>
      <c r="AJ23" s="92"/>
      <c r="AK23" s="89"/>
      <c r="AL23" s="90"/>
      <c r="AM23" s="91"/>
      <c r="AN23" s="92"/>
      <c r="AO23" s="89"/>
      <c r="AP23" s="90"/>
      <c r="AQ23" s="91"/>
      <c r="AR23" s="92"/>
      <c r="AS23" s="89"/>
      <c r="AT23" s="90"/>
      <c r="AU23" s="91"/>
      <c r="AV23" s="92"/>
      <c r="AW23" s="89"/>
      <c r="AX23" s="90"/>
      <c r="AY23" s="91"/>
      <c r="AZ23" s="92"/>
      <c r="BA23" s="89"/>
      <c r="BB23" s="90"/>
      <c r="BC23" s="91"/>
      <c r="BD23" s="92"/>
      <c r="BE23" s="89"/>
      <c r="BF23" s="90"/>
      <c r="BG23" s="91"/>
      <c r="BH23" s="92"/>
      <c r="BI23" s="89"/>
      <c r="BJ23" s="90"/>
      <c r="BK23" s="91"/>
      <c r="BL23" s="92"/>
      <c r="BM23" s="89"/>
      <c r="BN23" s="90"/>
      <c r="BO23" s="16"/>
      <c r="BP23" s="14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"/>
      <c r="CB23" s="2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2"/>
      <c r="CN23" s="102"/>
      <c r="CO23" s="103"/>
      <c r="CP23" s="107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</row>
    <row r="24" spans="1:122" s="22" customFormat="1" ht="8" customHeight="1">
      <c r="A24" s="19"/>
      <c r="B24" s="3"/>
      <c r="C24" s="3"/>
      <c r="D24" s="3"/>
      <c r="E24" s="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/>
      <c r="X24" s="16"/>
      <c r="Y24" s="90"/>
      <c r="Z24" s="90"/>
      <c r="AA24" s="92"/>
      <c r="AB24" s="92"/>
      <c r="AC24" s="90"/>
      <c r="AD24" s="90"/>
      <c r="AE24" s="92"/>
      <c r="AF24" s="92"/>
      <c r="AG24" s="90"/>
      <c r="AH24" s="90"/>
      <c r="AI24" s="92"/>
      <c r="AJ24" s="92"/>
      <c r="AK24" s="90"/>
      <c r="AL24" s="90"/>
      <c r="AM24" s="92"/>
      <c r="AN24" s="92"/>
      <c r="AO24" s="90"/>
      <c r="AP24" s="90"/>
      <c r="AQ24" s="92"/>
      <c r="AR24" s="92"/>
      <c r="AS24" s="90"/>
      <c r="AT24" s="90"/>
      <c r="AU24" s="92"/>
      <c r="AV24" s="92"/>
      <c r="AW24" s="90"/>
      <c r="AX24" s="90"/>
      <c r="AY24" s="92"/>
      <c r="AZ24" s="92"/>
      <c r="BA24" s="90"/>
      <c r="BB24" s="90"/>
      <c r="BC24" s="92"/>
      <c r="BD24" s="92"/>
      <c r="BE24" s="90"/>
      <c r="BF24" s="90"/>
      <c r="BG24" s="92"/>
      <c r="BH24" s="92"/>
      <c r="BI24" s="90"/>
      <c r="BJ24" s="90"/>
      <c r="BK24" s="92"/>
      <c r="BL24" s="92"/>
      <c r="BM24" s="90"/>
      <c r="BN24" s="90"/>
      <c r="BO24" s="15"/>
      <c r="BP24" s="16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3"/>
      <c r="CB24" s="3"/>
      <c r="CC24" s="3"/>
      <c r="CD24" s="3"/>
      <c r="CE24" s="3"/>
      <c r="CF24" s="3"/>
      <c r="CG24" s="3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</row>
    <row r="25" spans="1:122" s="22" customFormat="1" ht="8" customHeight="1">
      <c r="A25" s="19"/>
      <c r="B25" s="3"/>
      <c r="C25" s="3"/>
      <c r="D25" s="3"/>
      <c r="E25" s="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89"/>
      <c r="X25" s="90"/>
      <c r="Y25" s="91"/>
      <c r="Z25" s="92"/>
      <c r="AA25" s="89"/>
      <c r="AB25" s="90"/>
      <c r="AC25" s="91"/>
      <c r="AD25" s="92"/>
      <c r="AE25" s="89"/>
      <c r="AF25" s="90"/>
      <c r="AG25" s="91"/>
      <c r="AH25" s="92"/>
      <c r="AI25" s="89"/>
      <c r="AJ25" s="90"/>
      <c r="AK25" s="91"/>
      <c r="AL25" s="92"/>
      <c r="AM25" s="89"/>
      <c r="AN25" s="90"/>
      <c r="AO25" s="91"/>
      <c r="AP25" s="92"/>
      <c r="AQ25" s="89"/>
      <c r="AR25" s="90"/>
      <c r="AS25" s="91"/>
      <c r="AT25" s="92"/>
      <c r="AU25" s="89"/>
      <c r="AV25" s="90"/>
      <c r="AW25" s="91"/>
      <c r="AX25" s="92"/>
      <c r="AY25" s="89"/>
      <c r="AZ25" s="90"/>
      <c r="BA25" s="91"/>
      <c r="BB25" s="92"/>
      <c r="BC25" s="89"/>
      <c r="BD25" s="90"/>
      <c r="BE25" s="91"/>
      <c r="BF25" s="92"/>
      <c r="BG25" s="89"/>
      <c r="BH25" s="90"/>
      <c r="BI25" s="91"/>
      <c r="BJ25" s="92"/>
      <c r="BK25" s="89"/>
      <c r="BL25" s="90"/>
      <c r="BM25" s="91"/>
      <c r="BN25" s="92"/>
      <c r="BO25" s="89"/>
      <c r="BP25" s="90"/>
      <c r="BQ25" s="16"/>
      <c r="BR25" s="14"/>
      <c r="BS25" s="14"/>
      <c r="BT25" s="14"/>
      <c r="BU25" s="14"/>
      <c r="BV25" s="14"/>
      <c r="BW25" s="14"/>
      <c r="BX25" s="14"/>
      <c r="BY25" s="14"/>
      <c r="BZ25" s="14"/>
      <c r="CA25" s="3"/>
      <c r="CB25" s="3"/>
      <c r="CC25" s="3"/>
      <c r="CD25" s="3"/>
      <c r="CE25" s="3"/>
      <c r="CF25" s="3"/>
      <c r="CG25" s="3"/>
      <c r="CH25" s="19"/>
      <c r="CI25" s="19"/>
      <c r="CJ25" s="19"/>
      <c r="CK25" s="19"/>
      <c r="CL25" s="19"/>
      <c r="CM25" s="19"/>
      <c r="CN25" s="24"/>
      <c r="CO25" s="24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</row>
    <row r="26" spans="1:122" s="22" customFormat="1" ht="8" customHeight="1">
      <c r="A26" s="19"/>
      <c r="B26" s="3"/>
      <c r="C26" s="3"/>
      <c r="D26" s="3"/>
      <c r="E26" s="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5"/>
      <c r="V26" s="16"/>
      <c r="W26" s="90"/>
      <c r="X26" s="90"/>
      <c r="Y26" s="92"/>
      <c r="Z26" s="92"/>
      <c r="AA26" s="90"/>
      <c r="AB26" s="90"/>
      <c r="AC26" s="92"/>
      <c r="AD26" s="92"/>
      <c r="AE26" s="90"/>
      <c r="AF26" s="90"/>
      <c r="AG26" s="92"/>
      <c r="AH26" s="92"/>
      <c r="AI26" s="90"/>
      <c r="AJ26" s="90"/>
      <c r="AK26" s="92"/>
      <c r="AL26" s="92"/>
      <c r="AM26" s="90"/>
      <c r="AN26" s="90"/>
      <c r="AO26" s="92"/>
      <c r="AP26" s="92"/>
      <c r="AQ26" s="90"/>
      <c r="AR26" s="90"/>
      <c r="AS26" s="92"/>
      <c r="AT26" s="92"/>
      <c r="AU26" s="90"/>
      <c r="AV26" s="90"/>
      <c r="AW26" s="92"/>
      <c r="AX26" s="92"/>
      <c r="AY26" s="90"/>
      <c r="AZ26" s="90"/>
      <c r="BA26" s="92"/>
      <c r="BB26" s="92"/>
      <c r="BC26" s="90"/>
      <c r="BD26" s="90"/>
      <c r="BE26" s="92"/>
      <c r="BF26" s="92"/>
      <c r="BG26" s="90"/>
      <c r="BH26" s="90"/>
      <c r="BI26" s="92"/>
      <c r="BJ26" s="92"/>
      <c r="BK26" s="90"/>
      <c r="BL26" s="90"/>
      <c r="BM26" s="92"/>
      <c r="BN26" s="92"/>
      <c r="BO26" s="90"/>
      <c r="BP26" s="90"/>
      <c r="BQ26" s="15"/>
      <c r="BR26" s="16"/>
      <c r="BS26" s="14"/>
      <c r="BT26" s="14"/>
      <c r="BU26" s="14"/>
      <c r="BV26" s="14"/>
      <c r="BW26" s="14"/>
      <c r="BX26" s="14"/>
      <c r="BY26" s="14"/>
      <c r="BZ26" s="14"/>
      <c r="CA26" s="3"/>
      <c r="CB26" s="3"/>
      <c r="CC26" s="3"/>
      <c r="CD26" s="3"/>
      <c r="CE26" s="3"/>
      <c r="CF26" s="3"/>
      <c r="CG26" s="3"/>
      <c r="CH26" s="19"/>
      <c r="CI26" s="19"/>
      <c r="CJ26" s="19"/>
      <c r="CK26" s="19"/>
      <c r="CL26" s="19"/>
      <c r="CM26" s="19"/>
      <c r="CN26" s="96"/>
      <c r="CO26" s="97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</row>
    <row r="27" spans="1:122" s="22" customFormat="1" ht="8" customHeight="1">
      <c r="A27" s="19"/>
      <c r="B27" s="3"/>
      <c r="C27" s="139" t="s">
        <v>17</v>
      </c>
      <c r="D27" s="94"/>
      <c r="E27" s="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89"/>
      <c r="V27" s="90"/>
      <c r="W27" s="91"/>
      <c r="X27" s="92"/>
      <c r="Y27" s="89"/>
      <c r="Z27" s="90"/>
      <c r="AA27" s="91"/>
      <c r="AB27" s="92"/>
      <c r="AC27" s="89"/>
      <c r="AD27" s="90"/>
      <c r="AE27" s="91"/>
      <c r="AF27" s="92"/>
      <c r="AG27" s="89"/>
      <c r="AH27" s="90"/>
      <c r="AI27" s="91"/>
      <c r="AJ27" s="92"/>
      <c r="AK27" s="89"/>
      <c r="AL27" s="90"/>
      <c r="AM27" s="91"/>
      <c r="AN27" s="92"/>
      <c r="AO27" s="89"/>
      <c r="AP27" s="90"/>
      <c r="AQ27" s="91"/>
      <c r="AR27" s="92"/>
      <c r="AS27" s="89"/>
      <c r="AT27" s="90"/>
      <c r="AU27" s="91"/>
      <c r="AV27" s="92"/>
      <c r="AW27" s="89"/>
      <c r="AX27" s="90"/>
      <c r="AY27" s="91"/>
      <c r="AZ27" s="92"/>
      <c r="BA27" s="89"/>
      <c r="BB27" s="90"/>
      <c r="BC27" s="91"/>
      <c r="BD27" s="92"/>
      <c r="BE27" s="89"/>
      <c r="BF27" s="90"/>
      <c r="BG27" s="91"/>
      <c r="BH27" s="92"/>
      <c r="BI27" s="89"/>
      <c r="BJ27" s="90"/>
      <c r="BK27" s="91"/>
      <c r="BL27" s="92"/>
      <c r="BM27" s="89"/>
      <c r="BN27" s="90"/>
      <c r="BO27" s="91"/>
      <c r="BP27" s="92"/>
      <c r="BQ27" s="89"/>
      <c r="BR27" s="90"/>
      <c r="BS27" s="16"/>
      <c r="BT27" s="14"/>
      <c r="BU27" s="14"/>
      <c r="BV27" s="14"/>
      <c r="BW27" s="14"/>
      <c r="BX27" s="14"/>
      <c r="BY27" s="14"/>
      <c r="BZ27" s="14"/>
      <c r="CA27" s="3"/>
      <c r="CB27" s="3"/>
      <c r="CC27" s="3"/>
      <c r="CD27" s="3"/>
      <c r="CE27" s="3"/>
      <c r="CF27" s="3"/>
      <c r="CG27" s="3"/>
      <c r="CH27" s="19"/>
      <c r="CI27" s="19"/>
      <c r="CJ27" s="19"/>
      <c r="CK27" s="19"/>
      <c r="CL27" s="19"/>
      <c r="CM27" s="19"/>
      <c r="CN27" s="96"/>
      <c r="CO27" s="97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</row>
    <row r="28" spans="1:122" s="22" customFormat="1" ht="8" customHeight="1">
      <c r="A28" s="19"/>
      <c r="B28" s="3"/>
      <c r="C28" s="94"/>
      <c r="D28" s="94"/>
      <c r="E28" s="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5"/>
      <c r="T28" s="16"/>
      <c r="U28" s="90"/>
      <c r="V28" s="90"/>
      <c r="W28" s="92"/>
      <c r="X28" s="92"/>
      <c r="Y28" s="90"/>
      <c r="Z28" s="90"/>
      <c r="AA28" s="92"/>
      <c r="AB28" s="92"/>
      <c r="AC28" s="90"/>
      <c r="AD28" s="90"/>
      <c r="AE28" s="92"/>
      <c r="AF28" s="92"/>
      <c r="AG28" s="90"/>
      <c r="AH28" s="90"/>
      <c r="AI28" s="92"/>
      <c r="AJ28" s="92"/>
      <c r="AK28" s="90"/>
      <c r="AL28" s="90"/>
      <c r="AM28" s="92"/>
      <c r="AN28" s="92"/>
      <c r="AO28" s="90"/>
      <c r="AP28" s="90"/>
      <c r="AQ28" s="92"/>
      <c r="AR28" s="92"/>
      <c r="AS28" s="90"/>
      <c r="AT28" s="90"/>
      <c r="AU28" s="92"/>
      <c r="AV28" s="92"/>
      <c r="AW28" s="90"/>
      <c r="AX28" s="90"/>
      <c r="AY28" s="92"/>
      <c r="AZ28" s="92"/>
      <c r="BA28" s="90"/>
      <c r="BB28" s="90"/>
      <c r="BC28" s="92"/>
      <c r="BD28" s="92"/>
      <c r="BE28" s="90"/>
      <c r="BF28" s="90"/>
      <c r="BG28" s="92"/>
      <c r="BH28" s="92"/>
      <c r="BI28" s="90"/>
      <c r="BJ28" s="90"/>
      <c r="BK28" s="92"/>
      <c r="BL28" s="92"/>
      <c r="BM28" s="90"/>
      <c r="BN28" s="90"/>
      <c r="BO28" s="92"/>
      <c r="BP28" s="92"/>
      <c r="BQ28" s="90"/>
      <c r="BR28" s="90"/>
      <c r="BS28" s="15"/>
      <c r="BT28" s="16"/>
      <c r="BU28" s="14"/>
      <c r="BV28" s="14"/>
      <c r="BW28" s="14"/>
      <c r="BX28" s="14"/>
      <c r="BY28" s="14"/>
      <c r="BZ28" s="14"/>
      <c r="CA28" s="3"/>
      <c r="CB28" s="3"/>
      <c r="CC28" s="3"/>
      <c r="CD28" s="3"/>
      <c r="CE28" s="3"/>
      <c r="CF28" s="3"/>
      <c r="CG28" s="3"/>
      <c r="CH28" s="19"/>
      <c r="CI28" s="19"/>
      <c r="CJ28" s="19"/>
      <c r="CK28" s="19"/>
      <c r="CL28" s="19"/>
      <c r="CM28" s="19"/>
      <c r="CN28" s="96"/>
      <c r="CO28" s="97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</row>
    <row r="29" spans="1:122" s="22" customFormat="1" ht="8" customHeight="1">
      <c r="A29" s="19"/>
      <c r="B29" s="3"/>
      <c r="C29" s="94"/>
      <c r="D29" s="94"/>
      <c r="E29" s="25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14"/>
      <c r="R29" s="15"/>
      <c r="S29" s="89"/>
      <c r="T29" s="90"/>
      <c r="U29" s="91"/>
      <c r="V29" s="92"/>
      <c r="W29" s="89"/>
      <c r="X29" s="90"/>
      <c r="Y29" s="91"/>
      <c r="Z29" s="92"/>
      <c r="AA29" s="89"/>
      <c r="AB29" s="90"/>
      <c r="AC29" s="91"/>
      <c r="AD29" s="92"/>
      <c r="AE29" s="89"/>
      <c r="AF29" s="90"/>
      <c r="AG29" s="91"/>
      <c r="AH29" s="92"/>
      <c r="AI29" s="89"/>
      <c r="AJ29" s="90"/>
      <c r="AK29" s="91"/>
      <c r="AL29" s="92"/>
      <c r="AM29" s="89"/>
      <c r="AN29" s="90"/>
      <c r="AO29" s="91"/>
      <c r="AP29" s="92"/>
      <c r="AQ29" s="89"/>
      <c r="AR29" s="90"/>
      <c r="AS29" s="91"/>
      <c r="AT29" s="92"/>
      <c r="AU29" s="89"/>
      <c r="AV29" s="90"/>
      <c r="AW29" s="91"/>
      <c r="AX29" s="92"/>
      <c r="AY29" s="89"/>
      <c r="AZ29" s="90"/>
      <c r="BA29" s="91"/>
      <c r="BB29" s="92"/>
      <c r="BC29" s="89"/>
      <c r="BD29" s="90"/>
      <c r="BE29" s="91"/>
      <c r="BF29" s="92"/>
      <c r="BG29" s="89"/>
      <c r="BH29" s="90"/>
      <c r="BI29" s="91"/>
      <c r="BJ29" s="92"/>
      <c r="BK29" s="89"/>
      <c r="BL29" s="90"/>
      <c r="BM29" s="91"/>
      <c r="BN29" s="92"/>
      <c r="BO29" s="89"/>
      <c r="BP29" s="90"/>
      <c r="BQ29" s="91"/>
      <c r="BR29" s="92"/>
      <c r="BS29" s="89"/>
      <c r="BT29" s="90"/>
      <c r="BU29" s="16"/>
      <c r="BV29" s="14"/>
      <c r="BW29" s="26"/>
      <c r="BX29" s="26"/>
      <c r="BY29" s="26"/>
      <c r="BZ29" s="26"/>
      <c r="CA29" s="25"/>
      <c r="CB29" s="25"/>
      <c r="CC29" s="25"/>
      <c r="CD29" s="25"/>
      <c r="CE29" s="25"/>
      <c r="CF29" s="25"/>
      <c r="CG29" s="25"/>
      <c r="CH29" s="19"/>
      <c r="CI29" s="19"/>
      <c r="CJ29" s="19"/>
      <c r="CK29" s="19"/>
      <c r="CL29" s="19"/>
      <c r="CM29" s="19"/>
      <c r="CN29" s="96"/>
      <c r="CO29" s="97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</row>
    <row r="30" spans="1:122" s="22" customFormat="1" ht="8" customHeight="1">
      <c r="A30" s="19"/>
      <c r="B30" s="3"/>
      <c r="C30" s="94"/>
      <c r="D30" s="94"/>
      <c r="E30" s="25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14"/>
      <c r="Q30" s="15"/>
      <c r="R30" s="16"/>
      <c r="S30" s="90"/>
      <c r="T30" s="90"/>
      <c r="U30" s="92"/>
      <c r="V30" s="92"/>
      <c r="W30" s="90"/>
      <c r="X30" s="90"/>
      <c r="Y30" s="92"/>
      <c r="Z30" s="92"/>
      <c r="AA30" s="90"/>
      <c r="AB30" s="90"/>
      <c r="AC30" s="92"/>
      <c r="AD30" s="92"/>
      <c r="AE30" s="90"/>
      <c r="AF30" s="90"/>
      <c r="AG30" s="92"/>
      <c r="AH30" s="92"/>
      <c r="AI30" s="90"/>
      <c r="AJ30" s="90"/>
      <c r="AK30" s="92"/>
      <c r="AL30" s="92"/>
      <c r="AM30" s="90"/>
      <c r="AN30" s="90"/>
      <c r="AO30" s="92"/>
      <c r="AP30" s="92"/>
      <c r="AQ30" s="90"/>
      <c r="AR30" s="90"/>
      <c r="AS30" s="92"/>
      <c r="AT30" s="92"/>
      <c r="AU30" s="90"/>
      <c r="AV30" s="90"/>
      <c r="AW30" s="92"/>
      <c r="AX30" s="92"/>
      <c r="AY30" s="90"/>
      <c r="AZ30" s="90"/>
      <c r="BA30" s="92"/>
      <c r="BB30" s="92"/>
      <c r="BC30" s="90"/>
      <c r="BD30" s="90"/>
      <c r="BE30" s="92"/>
      <c r="BF30" s="92"/>
      <c r="BG30" s="90"/>
      <c r="BH30" s="90"/>
      <c r="BI30" s="92"/>
      <c r="BJ30" s="92"/>
      <c r="BK30" s="90"/>
      <c r="BL30" s="90"/>
      <c r="BM30" s="92"/>
      <c r="BN30" s="92"/>
      <c r="BO30" s="90"/>
      <c r="BP30" s="90"/>
      <c r="BQ30" s="92"/>
      <c r="BR30" s="92"/>
      <c r="BS30" s="90"/>
      <c r="BT30" s="90"/>
      <c r="BU30" s="15"/>
      <c r="BV30" s="16"/>
      <c r="BW30" s="14"/>
      <c r="BX30" s="26"/>
      <c r="BY30" s="26"/>
      <c r="BZ30" s="26"/>
      <c r="CA30" s="25"/>
      <c r="CB30" s="25"/>
      <c r="CC30" s="25"/>
      <c r="CD30" s="25"/>
      <c r="CE30" s="25"/>
      <c r="CF30" s="25"/>
      <c r="CG30" s="25"/>
      <c r="CH30" s="19"/>
      <c r="CI30" s="19"/>
      <c r="CJ30" s="19"/>
      <c r="CK30" s="19"/>
      <c r="CL30" s="19"/>
      <c r="CM30" s="19"/>
      <c r="CN30" s="96"/>
      <c r="CO30" s="97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</row>
    <row r="31" spans="1:122" s="22" customFormat="1" ht="8" customHeight="1">
      <c r="A31" s="19"/>
      <c r="B31" s="3"/>
      <c r="C31" s="3"/>
      <c r="D31" s="3"/>
      <c r="E31" s="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/>
      <c r="Q31" s="89"/>
      <c r="R31" s="90"/>
      <c r="S31" s="91"/>
      <c r="T31" s="92"/>
      <c r="U31" s="89"/>
      <c r="V31" s="90"/>
      <c r="W31" s="91"/>
      <c r="X31" s="92"/>
      <c r="Y31" s="89"/>
      <c r="Z31" s="90"/>
      <c r="AA31" s="91"/>
      <c r="AB31" s="92"/>
      <c r="AC31" s="89"/>
      <c r="AD31" s="90"/>
      <c r="AE31" s="91"/>
      <c r="AF31" s="92"/>
      <c r="AG31" s="89"/>
      <c r="AH31" s="90"/>
      <c r="AI31" s="91"/>
      <c r="AJ31" s="92"/>
      <c r="AK31" s="89"/>
      <c r="AL31" s="90"/>
      <c r="AM31" s="91"/>
      <c r="AN31" s="92"/>
      <c r="AO31" s="89"/>
      <c r="AP31" s="90"/>
      <c r="AQ31" s="91"/>
      <c r="AR31" s="92"/>
      <c r="AS31" s="89"/>
      <c r="AT31" s="90"/>
      <c r="AU31" s="91"/>
      <c r="AV31" s="92"/>
      <c r="AW31" s="89"/>
      <c r="AX31" s="90"/>
      <c r="AY31" s="91"/>
      <c r="AZ31" s="92"/>
      <c r="BA31" s="89"/>
      <c r="BB31" s="90"/>
      <c r="BC31" s="91"/>
      <c r="BD31" s="92"/>
      <c r="BE31" s="89"/>
      <c r="BF31" s="90"/>
      <c r="BG31" s="91"/>
      <c r="BH31" s="92"/>
      <c r="BI31" s="89"/>
      <c r="BJ31" s="90"/>
      <c r="BK31" s="91"/>
      <c r="BL31" s="92"/>
      <c r="BM31" s="89"/>
      <c r="BN31" s="90"/>
      <c r="BO31" s="91"/>
      <c r="BP31" s="92"/>
      <c r="BQ31" s="89"/>
      <c r="BR31" s="90"/>
      <c r="BS31" s="91"/>
      <c r="BT31" s="92"/>
      <c r="BU31" s="89"/>
      <c r="BV31" s="90"/>
      <c r="BW31" s="16"/>
      <c r="BX31" s="14"/>
      <c r="BY31" s="14"/>
      <c r="BZ31" s="14"/>
      <c r="CA31" s="3"/>
      <c r="CB31" s="3"/>
      <c r="CC31" s="3"/>
      <c r="CD31" s="3"/>
      <c r="CE31" s="3"/>
      <c r="CF31" s="3"/>
      <c r="CG31" s="3"/>
      <c r="CH31" s="19"/>
      <c r="CI31" s="19"/>
      <c r="CJ31" s="19"/>
      <c r="CK31" s="19"/>
      <c r="CL31" s="19"/>
      <c r="CM31" s="19"/>
      <c r="CN31" s="96"/>
      <c r="CO31" s="97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</row>
    <row r="32" spans="1:122" s="22" customFormat="1" ht="8" customHeight="1">
      <c r="A32" s="19"/>
      <c r="B32" s="3"/>
      <c r="C32" s="3"/>
      <c r="D32" s="3"/>
      <c r="E32" s="3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6"/>
      <c r="Q32" s="90"/>
      <c r="R32" s="90"/>
      <c r="S32" s="92"/>
      <c r="T32" s="92"/>
      <c r="U32" s="90"/>
      <c r="V32" s="90"/>
      <c r="W32" s="92"/>
      <c r="X32" s="92"/>
      <c r="Y32" s="90"/>
      <c r="Z32" s="90"/>
      <c r="AA32" s="92"/>
      <c r="AB32" s="92"/>
      <c r="AC32" s="90"/>
      <c r="AD32" s="90"/>
      <c r="AE32" s="92"/>
      <c r="AF32" s="92"/>
      <c r="AG32" s="90"/>
      <c r="AH32" s="90"/>
      <c r="AI32" s="92"/>
      <c r="AJ32" s="92"/>
      <c r="AK32" s="90"/>
      <c r="AL32" s="90"/>
      <c r="AM32" s="92"/>
      <c r="AN32" s="92"/>
      <c r="AO32" s="90"/>
      <c r="AP32" s="90"/>
      <c r="AQ32" s="92"/>
      <c r="AR32" s="92"/>
      <c r="AS32" s="90"/>
      <c r="AT32" s="90"/>
      <c r="AU32" s="92"/>
      <c r="AV32" s="92"/>
      <c r="AW32" s="90"/>
      <c r="AX32" s="90"/>
      <c r="AY32" s="92"/>
      <c r="AZ32" s="92"/>
      <c r="BA32" s="90"/>
      <c r="BB32" s="90"/>
      <c r="BC32" s="92"/>
      <c r="BD32" s="92"/>
      <c r="BE32" s="90"/>
      <c r="BF32" s="90"/>
      <c r="BG32" s="92"/>
      <c r="BH32" s="92"/>
      <c r="BI32" s="90"/>
      <c r="BJ32" s="90"/>
      <c r="BK32" s="92"/>
      <c r="BL32" s="92"/>
      <c r="BM32" s="90"/>
      <c r="BN32" s="90"/>
      <c r="BO32" s="92"/>
      <c r="BP32" s="92"/>
      <c r="BQ32" s="90"/>
      <c r="BR32" s="90"/>
      <c r="BS32" s="92"/>
      <c r="BT32" s="92"/>
      <c r="BU32" s="90"/>
      <c r="BV32" s="90"/>
      <c r="BW32" s="15"/>
      <c r="BX32" s="16"/>
      <c r="BY32" s="14"/>
      <c r="BZ32" s="14"/>
      <c r="CA32" s="3"/>
      <c r="CB32" s="3"/>
      <c r="CC32" s="3"/>
      <c r="CD32" s="3"/>
      <c r="CE32" s="3"/>
      <c r="CF32" s="3"/>
      <c r="CG32" s="3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</row>
    <row r="33" spans="1:122" s="22" customFormat="1" ht="8" customHeight="1">
      <c r="A33" s="19"/>
      <c r="E33" s="3"/>
      <c r="F33" s="14"/>
      <c r="G33" s="14"/>
      <c r="H33" s="14"/>
      <c r="I33" s="14"/>
      <c r="J33" s="14"/>
      <c r="K33" s="14"/>
      <c r="L33" s="14"/>
      <c r="M33" s="14"/>
      <c r="N33" s="15"/>
      <c r="O33" s="89"/>
      <c r="P33" s="90"/>
      <c r="Q33" s="91"/>
      <c r="R33" s="92"/>
      <c r="S33" s="89"/>
      <c r="T33" s="90"/>
      <c r="U33" s="91"/>
      <c r="V33" s="92"/>
      <c r="W33" s="89"/>
      <c r="X33" s="90"/>
      <c r="Y33" s="91"/>
      <c r="Z33" s="92"/>
      <c r="AA33" s="89"/>
      <c r="AB33" s="90"/>
      <c r="AC33" s="91"/>
      <c r="AD33" s="92"/>
      <c r="AE33" s="89"/>
      <c r="AF33" s="90"/>
      <c r="AG33" s="91"/>
      <c r="AH33" s="92"/>
      <c r="AI33" s="89"/>
      <c r="AJ33" s="90"/>
      <c r="AK33" s="91"/>
      <c r="AL33" s="92"/>
      <c r="AM33" s="89"/>
      <c r="AN33" s="90"/>
      <c r="AO33" s="91"/>
      <c r="AP33" s="92"/>
      <c r="AQ33" s="89"/>
      <c r="AR33" s="90"/>
      <c r="AS33" s="91"/>
      <c r="AT33" s="92"/>
      <c r="AU33" s="89"/>
      <c r="AV33" s="90"/>
      <c r="AW33" s="91"/>
      <c r="AX33" s="92"/>
      <c r="AY33" s="89"/>
      <c r="AZ33" s="90"/>
      <c r="BA33" s="91"/>
      <c r="BB33" s="92"/>
      <c r="BC33" s="89"/>
      <c r="BD33" s="90"/>
      <c r="BE33" s="91"/>
      <c r="BF33" s="92"/>
      <c r="BG33" s="89"/>
      <c r="BH33" s="90"/>
      <c r="BI33" s="91"/>
      <c r="BJ33" s="92"/>
      <c r="BK33" s="89"/>
      <c r="BL33" s="90"/>
      <c r="BM33" s="91"/>
      <c r="BN33" s="92"/>
      <c r="BO33" s="89"/>
      <c r="BP33" s="90"/>
      <c r="BQ33" s="91"/>
      <c r="BR33" s="92"/>
      <c r="BS33" s="89"/>
      <c r="BT33" s="90"/>
      <c r="BU33" s="91"/>
      <c r="BV33" s="92"/>
      <c r="BW33" s="89"/>
      <c r="BX33" s="90"/>
      <c r="BY33" s="16"/>
      <c r="BZ33" s="14"/>
      <c r="CA33" s="14"/>
      <c r="CB33" s="14"/>
      <c r="CC33" s="14"/>
      <c r="CD33" s="14"/>
      <c r="CE33" s="14"/>
      <c r="CF33" s="14"/>
      <c r="CG33" s="14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</row>
    <row r="34" spans="1:122" s="22" customFormat="1" ht="8" customHeight="1">
      <c r="A34" s="19"/>
      <c r="E34" s="3"/>
      <c r="F34" s="14"/>
      <c r="G34" s="14"/>
      <c r="H34" s="14"/>
      <c r="I34" s="14"/>
      <c r="J34" s="14"/>
      <c r="K34" s="14"/>
      <c r="L34" s="14"/>
      <c r="M34" s="15"/>
      <c r="N34" s="16"/>
      <c r="O34" s="90"/>
      <c r="P34" s="90"/>
      <c r="Q34" s="92"/>
      <c r="R34" s="92"/>
      <c r="S34" s="90"/>
      <c r="T34" s="90"/>
      <c r="U34" s="92"/>
      <c r="V34" s="92"/>
      <c r="W34" s="90"/>
      <c r="X34" s="90"/>
      <c r="Y34" s="92"/>
      <c r="Z34" s="92"/>
      <c r="AA34" s="90"/>
      <c r="AB34" s="90"/>
      <c r="AC34" s="92"/>
      <c r="AD34" s="92"/>
      <c r="AE34" s="90"/>
      <c r="AF34" s="90"/>
      <c r="AG34" s="92"/>
      <c r="AH34" s="92"/>
      <c r="AI34" s="90"/>
      <c r="AJ34" s="90"/>
      <c r="AK34" s="92"/>
      <c r="AL34" s="92"/>
      <c r="AM34" s="90"/>
      <c r="AN34" s="90"/>
      <c r="AO34" s="92"/>
      <c r="AP34" s="92"/>
      <c r="AQ34" s="90"/>
      <c r="AR34" s="90"/>
      <c r="AS34" s="92"/>
      <c r="AT34" s="92"/>
      <c r="AU34" s="90"/>
      <c r="AV34" s="90"/>
      <c r="AW34" s="92"/>
      <c r="AX34" s="92"/>
      <c r="AY34" s="90"/>
      <c r="AZ34" s="90"/>
      <c r="BA34" s="92"/>
      <c r="BB34" s="92"/>
      <c r="BC34" s="90"/>
      <c r="BD34" s="90"/>
      <c r="BE34" s="92"/>
      <c r="BF34" s="92"/>
      <c r="BG34" s="90"/>
      <c r="BH34" s="90"/>
      <c r="BI34" s="92"/>
      <c r="BJ34" s="92"/>
      <c r="BK34" s="90"/>
      <c r="BL34" s="90"/>
      <c r="BM34" s="92"/>
      <c r="BN34" s="92"/>
      <c r="BO34" s="90"/>
      <c r="BP34" s="90"/>
      <c r="BQ34" s="92"/>
      <c r="BR34" s="92"/>
      <c r="BS34" s="90"/>
      <c r="BT34" s="90"/>
      <c r="BU34" s="92"/>
      <c r="BV34" s="92"/>
      <c r="BW34" s="90"/>
      <c r="BX34" s="90"/>
      <c r="BY34" s="15"/>
      <c r="BZ34" s="16"/>
      <c r="CA34" s="14"/>
      <c r="CB34" s="14"/>
      <c r="CC34" s="14"/>
      <c r="CD34" s="14"/>
      <c r="CE34" s="14"/>
      <c r="CF34" s="14"/>
      <c r="CG34" s="14"/>
      <c r="CH34" s="19"/>
      <c r="CI34" s="93" t="s">
        <v>18</v>
      </c>
      <c r="CJ34" s="138"/>
      <c r="CK34" s="138"/>
      <c r="CL34" s="138"/>
      <c r="CM34" s="138"/>
      <c r="CN34" s="138"/>
      <c r="CO34" s="138"/>
      <c r="CP34" s="138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</row>
    <row r="35" spans="1:122" s="22" customFormat="1" ht="8" customHeight="1">
      <c r="A35" s="19"/>
      <c r="E35" s="3"/>
      <c r="F35" s="14"/>
      <c r="G35" s="14"/>
      <c r="H35" s="14"/>
      <c r="I35" s="14"/>
      <c r="J35" s="14"/>
      <c r="K35" s="14"/>
      <c r="L35" s="15"/>
      <c r="M35" s="89"/>
      <c r="N35" s="90"/>
      <c r="O35" s="91"/>
      <c r="P35" s="92"/>
      <c r="Q35" s="89"/>
      <c r="R35" s="90"/>
      <c r="S35" s="91"/>
      <c r="T35" s="92"/>
      <c r="U35" s="89"/>
      <c r="V35" s="90"/>
      <c r="W35" s="91"/>
      <c r="X35" s="92"/>
      <c r="Y35" s="89"/>
      <c r="Z35" s="90"/>
      <c r="AA35" s="91"/>
      <c r="AB35" s="92"/>
      <c r="AC35" s="89"/>
      <c r="AD35" s="90"/>
      <c r="AE35" s="91"/>
      <c r="AF35" s="92"/>
      <c r="AG35" s="89"/>
      <c r="AH35" s="90"/>
      <c r="AI35" s="91"/>
      <c r="AJ35" s="92"/>
      <c r="AK35" s="89"/>
      <c r="AL35" s="90"/>
      <c r="AM35" s="91"/>
      <c r="AN35" s="92"/>
      <c r="AO35" s="89"/>
      <c r="AP35" s="90"/>
      <c r="AQ35" s="91"/>
      <c r="AR35" s="92"/>
      <c r="AS35" s="89"/>
      <c r="AT35" s="90"/>
      <c r="AU35" s="91"/>
      <c r="AV35" s="92"/>
      <c r="AW35" s="89"/>
      <c r="AX35" s="90"/>
      <c r="AY35" s="91"/>
      <c r="AZ35" s="92"/>
      <c r="BA35" s="89"/>
      <c r="BB35" s="90"/>
      <c r="BC35" s="91"/>
      <c r="BD35" s="92"/>
      <c r="BE35" s="89"/>
      <c r="BF35" s="90"/>
      <c r="BG35" s="91"/>
      <c r="BH35" s="92"/>
      <c r="BI35" s="89"/>
      <c r="BJ35" s="90"/>
      <c r="BK35" s="91"/>
      <c r="BL35" s="92"/>
      <c r="BM35" s="89"/>
      <c r="BN35" s="90"/>
      <c r="BO35" s="91"/>
      <c r="BP35" s="92"/>
      <c r="BQ35" s="89"/>
      <c r="BR35" s="90"/>
      <c r="BS35" s="91"/>
      <c r="BT35" s="92"/>
      <c r="BU35" s="89"/>
      <c r="BV35" s="90"/>
      <c r="BW35" s="91"/>
      <c r="BX35" s="92"/>
      <c r="BY35" s="89"/>
      <c r="BZ35" s="90"/>
      <c r="CA35" s="16"/>
      <c r="CB35" s="14"/>
      <c r="CC35" s="14"/>
      <c r="CD35" s="14"/>
      <c r="CE35" s="14"/>
      <c r="CF35" s="14"/>
      <c r="CG35" s="14"/>
      <c r="CH35" s="19"/>
      <c r="CI35" s="138"/>
      <c r="CJ35" s="138"/>
      <c r="CK35" s="138"/>
      <c r="CL35" s="138"/>
      <c r="CM35" s="138"/>
      <c r="CN35" s="138"/>
      <c r="CO35" s="138"/>
      <c r="CP35" s="138"/>
      <c r="CQ35" s="19"/>
      <c r="CR35" s="28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</row>
    <row r="36" spans="1:122" s="22" customFormat="1" ht="8" customHeight="1">
      <c r="A36" s="19"/>
      <c r="E36" s="3"/>
      <c r="F36" s="14"/>
      <c r="G36" s="14"/>
      <c r="H36" s="14"/>
      <c r="I36" s="14"/>
      <c r="J36" s="14"/>
      <c r="K36" s="15"/>
      <c r="L36" s="16"/>
      <c r="M36" s="90"/>
      <c r="N36" s="90"/>
      <c r="O36" s="92"/>
      <c r="P36" s="92"/>
      <c r="Q36" s="90"/>
      <c r="R36" s="90"/>
      <c r="S36" s="92"/>
      <c r="T36" s="92"/>
      <c r="U36" s="90"/>
      <c r="V36" s="90"/>
      <c r="W36" s="92"/>
      <c r="X36" s="92"/>
      <c r="Y36" s="90"/>
      <c r="Z36" s="90"/>
      <c r="AA36" s="92"/>
      <c r="AB36" s="92"/>
      <c r="AC36" s="90"/>
      <c r="AD36" s="90"/>
      <c r="AE36" s="92"/>
      <c r="AF36" s="92"/>
      <c r="AG36" s="90"/>
      <c r="AH36" s="90"/>
      <c r="AI36" s="92"/>
      <c r="AJ36" s="92"/>
      <c r="AK36" s="90"/>
      <c r="AL36" s="90"/>
      <c r="AM36" s="92"/>
      <c r="AN36" s="92"/>
      <c r="AO36" s="90"/>
      <c r="AP36" s="90"/>
      <c r="AQ36" s="92"/>
      <c r="AR36" s="92"/>
      <c r="AS36" s="90"/>
      <c r="AT36" s="90"/>
      <c r="AU36" s="92"/>
      <c r="AV36" s="92"/>
      <c r="AW36" s="90"/>
      <c r="AX36" s="90"/>
      <c r="AY36" s="92"/>
      <c r="AZ36" s="92"/>
      <c r="BA36" s="90"/>
      <c r="BB36" s="90"/>
      <c r="BC36" s="92"/>
      <c r="BD36" s="92"/>
      <c r="BE36" s="90"/>
      <c r="BF36" s="90"/>
      <c r="BG36" s="92"/>
      <c r="BH36" s="92"/>
      <c r="BI36" s="90"/>
      <c r="BJ36" s="90"/>
      <c r="BK36" s="92"/>
      <c r="BL36" s="92"/>
      <c r="BM36" s="90"/>
      <c r="BN36" s="90"/>
      <c r="BO36" s="92"/>
      <c r="BP36" s="92"/>
      <c r="BQ36" s="90"/>
      <c r="BR36" s="90"/>
      <c r="BS36" s="92"/>
      <c r="BT36" s="92"/>
      <c r="BU36" s="90"/>
      <c r="BV36" s="90"/>
      <c r="BW36" s="92"/>
      <c r="BX36" s="92"/>
      <c r="BY36" s="90"/>
      <c r="BZ36" s="90"/>
      <c r="CA36" s="15"/>
      <c r="CB36" s="16"/>
      <c r="CC36" s="14"/>
      <c r="CD36" s="14"/>
      <c r="CE36" s="14"/>
      <c r="CF36" s="14"/>
      <c r="CG36" s="14"/>
      <c r="CH36" s="19"/>
      <c r="CI36" s="138"/>
      <c r="CJ36" s="138"/>
      <c r="CK36" s="138"/>
      <c r="CL36" s="138"/>
      <c r="CM36" s="138"/>
      <c r="CN36" s="138"/>
      <c r="CO36" s="138"/>
      <c r="CP36" s="138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</row>
    <row r="37" spans="1:122" s="22" customFormat="1" ht="8" customHeight="1">
      <c r="A37" s="19"/>
      <c r="E37" s="3"/>
      <c r="F37" s="14"/>
      <c r="G37" s="14"/>
      <c r="H37" s="14"/>
      <c r="I37" s="14"/>
      <c r="J37" s="15"/>
      <c r="K37" s="89"/>
      <c r="L37" s="90"/>
      <c r="M37" s="91"/>
      <c r="N37" s="92"/>
      <c r="O37" s="89"/>
      <c r="P37" s="90"/>
      <c r="Q37" s="91"/>
      <c r="R37" s="92"/>
      <c r="S37" s="89"/>
      <c r="T37" s="90"/>
      <c r="U37" s="91"/>
      <c r="V37" s="92"/>
      <c r="W37" s="89"/>
      <c r="X37" s="90"/>
      <c r="Y37" s="91"/>
      <c r="Z37" s="92"/>
      <c r="AA37" s="89"/>
      <c r="AB37" s="90"/>
      <c r="AC37" s="91"/>
      <c r="AD37" s="92"/>
      <c r="AE37" s="89"/>
      <c r="AF37" s="90"/>
      <c r="AG37" s="91"/>
      <c r="AH37" s="92"/>
      <c r="AI37" s="89"/>
      <c r="AJ37" s="90"/>
      <c r="AK37" s="91"/>
      <c r="AL37" s="92"/>
      <c r="AM37" s="89"/>
      <c r="AN37" s="90"/>
      <c r="AO37" s="91"/>
      <c r="AP37" s="92"/>
      <c r="AQ37" s="89"/>
      <c r="AR37" s="90"/>
      <c r="AS37" s="91"/>
      <c r="AT37" s="92"/>
      <c r="AU37" s="89"/>
      <c r="AV37" s="90"/>
      <c r="AW37" s="91"/>
      <c r="AX37" s="92"/>
      <c r="AY37" s="89"/>
      <c r="AZ37" s="90"/>
      <c r="BA37" s="91"/>
      <c r="BB37" s="92"/>
      <c r="BC37" s="89"/>
      <c r="BD37" s="90"/>
      <c r="BE37" s="91"/>
      <c r="BF37" s="92"/>
      <c r="BG37" s="89"/>
      <c r="BH37" s="90"/>
      <c r="BI37" s="91"/>
      <c r="BJ37" s="92"/>
      <c r="BK37" s="89"/>
      <c r="BL37" s="90"/>
      <c r="BM37" s="91"/>
      <c r="BN37" s="92"/>
      <c r="BO37" s="89"/>
      <c r="BP37" s="90"/>
      <c r="BQ37" s="91"/>
      <c r="BR37" s="92"/>
      <c r="BS37" s="89"/>
      <c r="BT37" s="90"/>
      <c r="BU37" s="91"/>
      <c r="BV37" s="92"/>
      <c r="BW37" s="89"/>
      <c r="BX37" s="90"/>
      <c r="BY37" s="91"/>
      <c r="BZ37" s="92"/>
      <c r="CA37" s="89"/>
      <c r="CB37" s="95"/>
      <c r="CC37" s="16"/>
      <c r="CD37" s="14"/>
      <c r="CE37" s="14"/>
      <c r="CF37" s="14"/>
      <c r="CG37" s="14"/>
      <c r="CH37" s="19"/>
      <c r="CI37" s="138"/>
      <c r="CJ37" s="138"/>
      <c r="CK37" s="138"/>
      <c r="CL37" s="138"/>
      <c r="CM37" s="138"/>
      <c r="CN37" s="138"/>
      <c r="CO37" s="138"/>
      <c r="CP37" s="138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</row>
    <row r="38" spans="1:122" s="22" customFormat="1" ht="8" customHeight="1">
      <c r="A38" s="19"/>
      <c r="E38" s="3"/>
      <c r="F38" s="14"/>
      <c r="G38" s="14"/>
      <c r="H38" s="14"/>
      <c r="I38" s="15"/>
      <c r="J38" s="16"/>
      <c r="K38" s="90"/>
      <c r="L38" s="90"/>
      <c r="M38" s="92"/>
      <c r="N38" s="92"/>
      <c r="O38" s="90"/>
      <c r="P38" s="90"/>
      <c r="Q38" s="92"/>
      <c r="R38" s="92"/>
      <c r="S38" s="90"/>
      <c r="T38" s="90"/>
      <c r="U38" s="92"/>
      <c r="V38" s="92"/>
      <c r="W38" s="90"/>
      <c r="X38" s="90"/>
      <c r="Y38" s="92"/>
      <c r="Z38" s="92"/>
      <c r="AA38" s="90"/>
      <c r="AB38" s="90"/>
      <c r="AC38" s="92"/>
      <c r="AD38" s="92"/>
      <c r="AE38" s="90"/>
      <c r="AF38" s="90"/>
      <c r="AG38" s="92"/>
      <c r="AH38" s="92"/>
      <c r="AI38" s="90"/>
      <c r="AJ38" s="90"/>
      <c r="AK38" s="92"/>
      <c r="AL38" s="92"/>
      <c r="AM38" s="90"/>
      <c r="AN38" s="90"/>
      <c r="AO38" s="92"/>
      <c r="AP38" s="92"/>
      <c r="AQ38" s="90"/>
      <c r="AR38" s="90"/>
      <c r="AS38" s="92"/>
      <c r="AT38" s="92"/>
      <c r="AU38" s="90"/>
      <c r="AV38" s="90"/>
      <c r="AW38" s="92"/>
      <c r="AX38" s="92"/>
      <c r="AY38" s="90"/>
      <c r="AZ38" s="90"/>
      <c r="BA38" s="92"/>
      <c r="BB38" s="92"/>
      <c r="BC38" s="90"/>
      <c r="BD38" s="90"/>
      <c r="BE38" s="92"/>
      <c r="BF38" s="92"/>
      <c r="BG38" s="90"/>
      <c r="BH38" s="90"/>
      <c r="BI38" s="92"/>
      <c r="BJ38" s="92"/>
      <c r="BK38" s="90"/>
      <c r="BL38" s="90"/>
      <c r="BM38" s="92"/>
      <c r="BN38" s="92"/>
      <c r="BO38" s="90"/>
      <c r="BP38" s="90"/>
      <c r="BQ38" s="92"/>
      <c r="BR38" s="92"/>
      <c r="BS38" s="90"/>
      <c r="BT38" s="90"/>
      <c r="BU38" s="92"/>
      <c r="BV38" s="92"/>
      <c r="BW38" s="90"/>
      <c r="BX38" s="90"/>
      <c r="BY38" s="92"/>
      <c r="BZ38" s="92"/>
      <c r="CA38" s="95"/>
      <c r="CB38" s="95"/>
      <c r="CC38" s="15"/>
      <c r="CD38" s="16"/>
      <c r="CE38" s="14"/>
      <c r="CF38" s="14"/>
      <c r="CG38" s="14"/>
      <c r="CH38" s="19"/>
      <c r="CI38" s="138"/>
      <c r="CJ38" s="138"/>
      <c r="CK38" s="138"/>
      <c r="CL38" s="138"/>
      <c r="CM38" s="138"/>
      <c r="CN38" s="138"/>
      <c r="CO38" s="138"/>
      <c r="CP38" s="138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</row>
    <row r="39" spans="1:122" s="22" customFormat="1" ht="8" customHeight="1">
      <c r="A39" s="19"/>
      <c r="B39" s="3"/>
      <c r="C39" s="3"/>
      <c r="D39" s="3"/>
      <c r="E39" s="3"/>
      <c r="F39" s="14"/>
      <c r="G39" s="14"/>
      <c r="H39" s="15"/>
      <c r="I39" s="89"/>
      <c r="J39" s="90"/>
      <c r="K39" s="91"/>
      <c r="L39" s="92"/>
      <c r="M39" s="89"/>
      <c r="N39" s="90"/>
      <c r="O39" s="91"/>
      <c r="P39" s="92"/>
      <c r="Q39" s="89"/>
      <c r="R39" s="90"/>
      <c r="S39" s="91"/>
      <c r="T39" s="92"/>
      <c r="U39" s="89"/>
      <c r="V39" s="90"/>
      <c r="W39" s="91"/>
      <c r="X39" s="92"/>
      <c r="Y39" s="89"/>
      <c r="Z39" s="90"/>
      <c r="AA39" s="91"/>
      <c r="AB39" s="92"/>
      <c r="AC39" s="89"/>
      <c r="AD39" s="90"/>
      <c r="AE39" s="91"/>
      <c r="AF39" s="92"/>
      <c r="AG39" s="89"/>
      <c r="AH39" s="90"/>
      <c r="AI39" s="91"/>
      <c r="AJ39" s="92"/>
      <c r="AK39" s="89"/>
      <c r="AL39" s="90"/>
      <c r="AM39" s="91"/>
      <c r="AN39" s="92"/>
      <c r="AO39" s="89"/>
      <c r="AP39" s="90"/>
      <c r="AQ39" s="91"/>
      <c r="AR39" s="92"/>
      <c r="AS39" s="89"/>
      <c r="AT39" s="90"/>
      <c r="AU39" s="91"/>
      <c r="AV39" s="92"/>
      <c r="AW39" s="89"/>
      <c r="AX39" s="90"/>
      <c r="AY39" s="91"/>
      <c r="AZ39" s="92"/>
      <c r="BA39" s="89"/>
      <c r="BB39" s="90"/>
      <c r="BC39" s="91"/>
      <c r="BD39" s="92"/>
      <c r="BE39" s="89"/>
      <c r="BF39" s="90"/>
      <c r="BG39" s="91"/>
      <c r="BH39" s="92"/>
      <c r="BI39" s="89"/>
      <c r="BJ39" s="90"/>
      <c r="BK39" s="91"/>
      <c r="BL39" s="92"/>
      <c r="BM39" s="89"/>
      <c r="BN39" s="90"/>
      <c r="BO39" s="91"/>
      <c r="BP39" s="92"/>
      <c r="BQ39" s="89"/>
      <c r="BR39" s="90"/>
      <c r="BS39" s="91"/>
      <c r="BT39" s="92"/>
      <c r="BU39" s="89"/>
      <c r="BV39" s="90"/>
      <c r="BW39" s="91"/>
      <c r="BX39" s="92"/>
      <c r="BY39" s="89"/>
      <c r="BZ39" s="95"/>
      <c r="CA39" s="91"/>
      <c r="CB39" s="92"/>
      <c r="CC39" s="89"/>
      <c r="CD39" s="95"/>
      <c r="CE39" s="16"/>
      <c r="CF39" s="14"/>
      <c r="CG39" s="14"/>
      <c r="CH39" s="19"/>
      <c r="CI39" s="138"/>
      <c r="CJ39" s="138"/>
      <c r="CK39" s="138"/>
      <c r="CL39" s="138"/>
      <c r="CM39" s="138"/>
      <c r="CN39" s="138"/>
      <c r="CO39" s="138"/>
      <c r="CP39" s="138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</row>
    <row r="40" spans="1:122" s="22" customFormat="1" ht="7.5" customHeight="1">
      <c r="A40" s="19"/>
      <c r="E40" s="3"/>
      <c r="F40" s="14"/>
      <c r="G40" s="15"/>
      <c r="H40" s="16"/>
      <c r="I40" s="90"/>
      <c r="J40" s="90"/>
      <c r="K40" s="92"/>
      <c r="L40" s="92"/>
      <c r="M40" s="90"/>
      <c r="N40" s="90"/>
      <c r="O40" s="92"/>
      <c r="P40" s="92"/>
      <c r="Q40" s="90"/>
      <c r="R40" s="90"/>
      <c r="S40" s="92"/>
      <c r="T40" s="92"/>
      <c r="U40" s="90"/>
      <c r="V40" s="90"/>
      <c r="W40" s="92"/>
      <c r="X40" s="92"/>
      <c r="Y40" s="90"/>
      <c r="Z40" s="90"/>
      <c r="AA40" s="92"/>
      <c r="AB40" s="92"/>
      <c r="AC40" s="90"/>
      <c r="AD40" s="90"/>
      <c r="AE40" s="92"/>
      <c r="AF40" s="92"/>
      <c r="AG40" s="90"/>
      <c r="AH40" s="90"/>
      <c r="AI40" s="92"/>
      <c r="AJ40" s="92"/>
      <c r="AK40" s="90"/>
      <c r="AL40" s="90"/>
      <c r="AM40" s="92"/>
      <c r="AN40" s="92"/>
      <c r="AO40" s="90"/>
      <c r="AP40" s="90"/>
      <c r="AQ40" s="92"/>
      <c r="AR40" s="92"/>
      <c r="AS40" s="90"/>
      <c r="AT40" s="90"/>
      <c r="AU40" s="92"/>
      <c r="AV40" s="92"/>
      <c r="AW40" s="90"/>
      <c r="AX40" s="90"/>
      <c r="AY40" s="92"/>
      <c r="AZ40" s="92"/>
      <c r="BA40" s="90"/>
      <c r="BB40" s="90"/>
      <c r="BC40" s="92"/>
      <c r="BD40" s="92"/>
      <c r="BE40" s="90"/>
      <c r="BF40" s="90"/>
      <c r="BG40" s="92"/>
      <c r="BH40" s="92"/>
      <c r="BI40" s="90"/>
      <c r="BJ40" s="90"/>
      <c r="BK40" s="92"/>
      <c r="BL40" s="92"/>
      <c r="BM40" s="90"/>
      <c r="BN40" s="90"/>
      <c r="BO40" s="92"/>
      <c r="BP40" s="92"/>
      <c r="BQ40" s="90"/>
      <c r="BR40" s="90"/>
      <c r="BS40" s="92"/>
      <c r="BT40" s="92"/>
      <c r="BU40" s="90"/>
      <c r="BV40" s="90"/>
      <c r="BW40" s="92"/>
      <c r="BX40" s="92"/>
      <c r="BY40" s="95"/>
      <c r="BZ40" s="95"/>
      <c r="CA40" s="92"/>
      <c r="CB40" s="92"/>
      <c r="CC40" s="95"/>
      <c r="CD40" s="95"/>
      <c r="CE40" s="15"/>
      <c r="CF40" s="16"/>
      <c r="CG40" s="14"/>
      <c r="CH40" s="19"/>
      <c r="CI40" s="138"/>
      <c r="CJ40" s="138"/>
      <c r="CK40" s="138"/>
      <c r="CL40" s="138"/>
      <c r="CM40" s="138"/>
      <c r="CN40" s="138"/>
      <c r="CO40" s="138"/>
      <c r="CP40" s="138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</row>
    <row r="41" spans="1:122" s="22" customFormat="1" ht="7.5" customHeight="1">
      <c r="A41" s="19"/>
      <c r="E41" s="3"/>
      <c r="F41" s="15"/>
      <c r="G41" s="88"/>
      <c r="H41" s="88"/>
      <c r="I41" s="16"/>
      <c r="J41" s="15"/>
      <c r="K41" s="88"/>
      <c r="L41" s="88"/>
      <c r="M41" s="16"/>
      <c r="N41" s="30"/>
      <c r="O41" s="87"/>
      <c r="P41" s="87"/>
      <c r="Q41" s="31"/>
      <c r="R41" s="30"/>
      <c r="S41" s="87"/>
      <c r="T41" s="87"/>
      <c r="U41" s="31"/>
      <c r="V41" s="30"/>
      <c r="W41" s="87"/>
      <c r="X41" s="87"/>
      <c r="Y41" s="31"/>
      <c r="Z41" s="30"/>
      <c r="AA41" s="87"/>
      <c r="AB41" s="87"/>
      <c r="AC41" s="31"/>
      <c r="AD41" s="30"/>
      <c r="AE41" s="87"/>
      <c r="AF41" s="87"/>
      <c r="AG41" s="31"/>
      <c r="AH41" s="30"/>
      <c r="AI41" s="87"/>
      <c r="AJ41" s="87"/>
      <c r="AK41" s="31"/>
      <c r="AL41" s="30"/>
      <c r="AM41" s="87"/>
      <c r="AN41" s="87"/>
      <c r="AO41" s="31"/>
      <c r="AP41" s="30"/>
      <c r="AQ41" s="87"/>
      <c r="AR41" s="87"/>
      <c r="AS41" s="31"/>
      <c r="AT41" s="30"/>
      <c r="AU41" s="87"/>
      <c r="AV41" s="87"/>
      <c r="AW41" s="31"/>
      <c r="AX41" s="30"/>
      <c r="AY41" s="87"/>
      <c r="AZ41" s="87"/>
      <c r="BA41" s="31"/>
      <c r="BB41" s="30"/>
      <c r="BC41" s="87"/>
      <c r="BD41" s="87"/>
      <c r="BE41" s="31"/>
      <c r="BF41" s="30"/>
      <c r="BG41" s="87"/>
      <c r="BH41" s="87"/>
      <c r="BI41" s="31"/>
      <c r="BJ41" s="30"/>
      <c r="BK41" s="87"/>
      <c r="BL41" s="87"/>
      <c r="BM41" s="31"/>
      <c r="BN41" s="30"/>
      <c r="BO41" s="87"/>
      <c r="BP41" s="87"/>
      <c r="BQ41" s="31"/>
      <c r="BR41" s="30"/>
      <c r="BS41" s="87"/>
      <c r="BT41" s="87"/>
      <c r="BU41" s="31"/>
      <c r="BV41" s="30"/>
      <c r="BW41" s="87"/>
      <c r="BX41" s="87"/>
      <c r="BY41" s="31"/>
      <c r="BZ41" s="30"/>
      <c r="CA41" s="87"/>
      <c r="CB41" s="87"/>
      <c r="CC41" s="31"/>
      <c r="CD41" s="30"/>
      <c r="CE41" s="87"/>
      <c r="CF41" s="87"/>
      <c r="CG41" s="31"/>
      <c r="CH41" s="19"/>
      <c r="CI41" s="134" t="s">
        <v>28</v>
      </c>
      <c r="CJ41" s="134" t="s">
        <v>19</v>
      </c>
      <c r="CL41" s="82" t="s">
        <v>20</v>
      </c>
      <c r="CM41" s="83"/>
      <c r="CN41" s="83"/>
      <c r="CO41" s="83"/>
      <c r="CP41" s="84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</row>
    <row r="42" spans="1:122" ht="120.75" customHeight="1">
      <c r="A42" s="34"/>
      <c r="B42" s="34"/>
      <c r="C42" s="34"/>
      <c r="D42" s="34"/>
      <c r="E42" s="85" t="s">
        <v>29</v>
      </c>
      <c r="F42" s="127"/>
      <c r="G42" s="128"/>
      <c r="H42" s="128"/>
      <c r="I42" s="129"/>
      <c r="J42" s="127"/>
      <c r="K42" s="128"/>
      <c r="L42" s="128"/>
      <c r="M42" s="129"/>
      <c r="N42" s="127"/>
      <c r="O42" s="128"/>
      <c r="P42" s="128"/>
      <c r="Q42" s="129"/>
      <c r="R42" s="127"/>
      <c r="S42" s="128"/>
      <c r="T42" s="128"/>
      <c r="U42" s="129"/>
      <c r="V42" s="127"/>
      <c r="W42" s="128"/>
      <c r="X42" s="128"/>
      <c r="Y42" s="129"/>
      <c r="Z42" s="127"/>
      <c r="AA42" s="128"/>
      <c r="AB42" s="128"/>
      <c r="AC42" s="129"/>
      <c r="AD42" s="127"/>
      <c r="AE42" s="128"/>
      <c r="AF42" s="128"/>
      <c r="AG42" s="129"/>
      <c r="AH42" s="127"/>
      <c r="AI42" s="128"/>
      <c r="AJ42" s="128"/>
      <c r="AK42" s="129"/>
      <c r="AL42" s="127"/>
      <c r="AM42" s="128"/>
      <c r="AN42" s="128"/>
      <c r="AO42" s="129"/>
      <c r="AP42" s="127"/>
      <c r="AQ42" s="128"/>
      <c r="AR42" s="128"/>
      <c r="AS42" s="129"/>
      <c r="AT42" s="127"/>
      <c r="AU42" s="128"/>
      <c r="AV42" s="128"/>
      <c r="AW42" s="129"/>
      <c r="AX42" s="127"/>
      <c r="AY42" s="128"/>
      <c r="AZ42" s="128"/>
      <c r="BA42" s="129"/>
      <c r="BB42" s="127"/>
      <c r="BC42" s="128"/>
      <c r="BD42" s="128"/>
      <c r="BE42" s="129"/>
      <c r="BF42" s="127"/>
      <c r="BG42" s="128"/>
      <c r="BH42" s="128"/>
      <c r="BI42" s="129"/>
      <c r="BJ42" s="127"/>
      <c r="BK42" s="128"/>
      <c r="BL42" s="128"/>
      <c r="BM42" s="129"/>
      <c r="BN42" s="127"/>
      <c r="BO42" s="128"/>
      <c r="BP42" s="128"/>
      <c r="BQ42" s="129"/>
      <c r="BR42" s="127"/>
      <c r="BS42" s="128"/>
      <c r="BT42" s="128"/>
      <c r="BU42" s="129"/>
      <c r="BV42" s="127"/>
      <c r="BW42" s="128"/>
      <c r="BX42" s="128"/>
      <c r="BY42" s="129"/>
      <c r="BZ42" s="127"/>
      <c r="CA42" s="128"/>
      <c r="CB42" s="128"/>
      <c r="CC42" s="129"/>
      <c r="CD42" s="127"/>
      <c r="CE42" s="128"/>
      <c r="CF42" s="128"/>
      <c r="CG42" s="129"/>
      <c r="CH42" s="34"/>
      <c r="CI42" s="135"/>
      <c r="CJ42" s="135"/>
      <c r="CK42" s="34"/>
      <c r="CL42" s="136"/>
      <c r="CM42" s="136"/>
      <c r="CN42" s="136"/>
      <c r="CO42" s="136"/>
      <c r="CP42" s="136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</row>
    <row r="43" spans="1:122" ht="37.5" customHeight="1">
      <c r="A43" s="34"/>
      <c r="B43" s="69" t="s">
        <v>35</v>
      </c>
      <c r="C43" s="70"/>
      <c r="D43" s="54"/>
      <c r="E43" s="133"/>
      <c r="F43" s="130"/>
      <c r="G43" s="131"/>
      <c r="H43" s="131"/>
      <c r="I43" s="132"/>
      <c r="J43" s="130"/>
      <c r="K43" s="131"/>
      <c r="L43" s="131"/>
      <c r="M43" s="132"/>
      <c r="N43" s="130"/>
      <c r="O43" s="131"/>
      <c r="P43" s="131"/>
      <c r="Q43" s="132"/>
      <c r="R43" s="130"/>
      <c r="S43" s="131"/>
      <c r="T43" s="131"/>
      <c r="U43" s="132"/>
      <c r="V43" s="130"/>
      <c r="W43" s="131"/>
      <c r="X43" s="131"/>
      <c r="Y43" s="132"/>
      <c r="Z43" s="130"/>
      <c r="AA43" s="131"/>
      <c r="AB43" s="131"/>
      <c r="AC43" s="132"/>
      <c r="AD43" s="130"/>
      <c r="AE43" s="131"/>
      <c r="AF43" s="131"/>
      <c r="AG43" s="132"/>
      <c r="AH43" s="130"/>
      <c r="AI43" s="131"/>
      <c r="AJ43" s="131"/>
      <c r="AK43" s="132"/>
      <c r="AL43" s="130"/>
      <c r="AM43" s="131"/>
      <c r="AN43" s="131"/>
      <c r="AO43" s="132"/>
      <c r="AP43" s="130"/>
      <c r="AQ43" s="131"/>
      <c r="AR43" s="131"/>
      <c r="AS43" s="132"/>
      <c r="AT43" s="130"/>
      <c r="AU43" s="131"/>
      <c r="AV43" s="131"/>
      <c r="AW43" s="132"/>
      <c r="AX43" s="130"/>
      <c r="AY43" s="131"/>
      <c r="AZ43" s="131"/>
      <c r="BA43" s="132"/>
      <c r="BB43" s="130"/>
      <c r="BC43" s="131"/>
      <c r="BD43" s="131"/>
      <c r="BE43" s="132"/>
      <c r="BF43" s="130"/>
      <c r="BG43" s="131"/>
      <c r="BH43" s="131"/>
      <c r="BI43" s="132"/>
      <c r="BJ43" s="130"/>
      <c r="BK43" s="131"/>
      <c r="BL43" s="131"/>
      <c r="BM43" s="132"/>
      <c r="BN43" s="130"/>
      <c r="BO43" s="131"/>
      <c r="BP43" s="131"/>
      <c r="BQ43" s="132"/>
      <c r="BR43" s="130"/>
      <c r="BS43" s="131"/>
      <c r="BT43" s="131"/>
      <c r="BU43" s="132"/>
      <c r="BV43" s="130"/>
      <c r="BW43" s="131"/>
      <c r="BX43" s="131"/>
      <c r="BY43" s="132"/>
      <c r="BZ43" s="130"/>
      <c r="CA43" s="131"/>
      <c r="CB43" s="131"/>
      <c r="CC43" s="132"/>
      <c r="CD43" s="130"/>
      <c r="CE43" s="131"/>
      <c r="CF43" s="131"/>
      <c r="CG43" s="132"/>
      <c r="CH43" s="34"/>
      <c r="CI43" s="135"/>
      <c r="CJ43" s="135"/>
      <c r="CK43" s="34"/>
      <c r="CL43" s="137"/>
      <c r="CM43" s="137"/>
      <c r="CN43" s="137"/>
      <c r="CO43" s="137"/>
      <c r="CP43" s="137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</row>
    <row r="44" spans="1:122" ht="29.25" customHeight="1">
      <c r="A44" s="34"/>
      <c r="B44" s="125" t="str">
        <f>IF('QFD First House'!$F$42 ="","",'QFD First House'!$F$42)</f>
        <v/>
      </c>
      <c r="C44" s="126"/>
      <c r="D44" s="55"/>
      <c r="E44" s="34"/>
      <c r="F44" s="63"/>
      <c r="G44" s="65"/>
      <c r="H44" s="65"/>
      <c r="I44" s="66"/>
      <c r="J44" s="63"/>
      <c r="K44" s="65"/>
      <c r="L44" s="65"/>
      <c r="M44" s="66"/>
      <c r="N44" s="63"/>
      <c r="O44" s="65"/>
      <c r="P44" s="65"/>
      <c r="Q44" s="66"/>
      <c r="R44" s="63"/>
      <c r="S44" s="65"/>
      <c r="T44" s="65"/>
      <c r="U44" s="66"/>
      <c r="V44" s="63"/>
      <c r="W44" s="65"/>
      <c r="X44" s="65"/>
      <c r="Y44" s="66"/>
      <c r="Z44" s="63"/>
      <c r="AA44" s="65"/>
      <c r="AB44" s="65"/>
      <c r="AC44" s="66"/>
      <c r="AD44" s="63"/>
      <c r="AE44" s="65"/>
      <c r="AF44" s="65"/>
      <c r="AG44" s="66"/>
      <c r="AH44" s="63"/>
      <c r="AI44" s="65"/>
      <c r="AJ44" s="65"/>
      <c r="AK44" s="66"/>
      <c r="AL44" s="63"/>
      <c r="AM44" s="65"/>
      <c r="AN44" s="65"/>
      <c r="AO44" s="66"/>
      <c r="AP44" s="63"/>
      <c r="AQ44" s="65"/>
      <c r="AR44" s="65"/>
      <c r="AS44" s="66"/>
      <c r="AT44" s="63"/>
      <c r="AU44" s="65"/>
      <c r="AV44" s="65"/>
      <c r="AW44" s="66"/>
      <c r="AX44" s="63"/>
      <c r="AY44" s="65"/>
      <c r="AZ44" s="65"/>
      <c r="BA44" s="66"/>
      <c r="BB44" s="63"/>
      <c r="BC44" s="65"/>
      <c r="BD44" s="65"/>
      <c r="BE44" s="66"/>
      <c r="BF44" s="63"/>
      <c r="BG44" s="65"/>
      <c r="BH44" s="65"/>
      <c r="BI44" s="66"/>
      <c r="BJ44" s="63"/>
      <c r="BK44" s="65"/>
      <c r="BL44" s="65"/>
      <c r="BM44" s="66"/>
      <c r="BN44" s="63"/>
      <c r="BO44" s="65"/>
      <c r="BP44" s="65"/>
      <c r="BQ44" s="66"/>
      <c r="BR44" s="63"/>
      <c r="BS44" s="65"/>
      <c r="BT44" s="65"/>
      <c r="BU44" s="66"/>
      <c r="BV44" s="63"/>
      <c r="BW44" s="65"/>
      <c r="BX44" s="65"/>
      <c r="BY44" s="66"/>
      <c r="BZ44" s="63"/>
      <c r="CA44" s="65"/>
      <c r="CB44" s="65"/>
      <c r="CC44" s="66"/>
      <c r="CD44" s="63"/>
      <c r="CE44" s="65"/>
      <c r="CF44" s="65"/>
      <c r="CG44" s="66"/>
      <c r="CH44" s="34"/>
      <c r="CI44" s="39">
        <f>'QFD First House'!$F$66:$F$66</f>
        <v>1</v>
      </c>
      <c r="CJ44" s="39">
        <f>IF(CI44&lt;=(MAX(CI$44:CI44)-MIN(CI$44:CI44))*0.2, 5,IF( CI$44&lt;=(MAX(CI$44:CI44)-MIN(CI$44:CI44))*0.4, 4,IF( CI44&lt;=(MAX(CI$44:CI44)-MIN(CI$44:CI44))*0.6, 3,IF(CI44&lt;=(MAX(CI$44:CI44)-MIN(CI$44:CI44))*0.8,2,1))))</f>
        <v>1</v>
      </c>
      <c r="CK44" s="42"/>
      <c r="CL44" s="39"/>
      <c r="CM44" s="39"/>
      <c r="CN44" s="39"/>
      <c r="CO44" s="39"/>
      <c r="CP44" s="39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</row>
    <row r="45" spans="1:122" ht="29.25" customHeight="1">
      <c r="A45" s="34"/>
      <c r="B45" s="125" t="str">
        <f>IF('QFD First House'!$J$42 ="","",'QFD First House'!$J$42)</f>
        <v/>
      </c>
      <c r="C45" s="126"/>
      <c r="D45" s="46"/>
      <c r="E45" s="34"/>
      <c r="F45" s="63"/>
      <c r="G45" s="65"/>
      <c r="H45" s="65"/>
      <c r="I45" s="66"/>
      <c r="J45" s="63"/>
      <c r="K45" s="65"/>
      <c r="L45" s="65"/>
      <c r="M45" s="66"/>
      <c r="N45" s="63"/>
      <c r="O45" s="65"/>
      <c r="P45" s="65"/>
      <c r="Q45" s="66"/>
      <c r="R45" s="63"/>
      <c r="S45" s="65"/>
      <c r="T45" s="65"/>
      <c r="U45" s="66"/>
      <c r="V45" s="63"/>
      <c r="W45" s="65"/>
      <c r="X45" s="65"/>
      <c r="Y45" s="66"/>
      <c r="Z45" s="63"/>
      <c r="AA45" s="65"/>
      <c r="AB45" s="65"/>
      <c r="AC45" s="66"/>
      <c r="AD45" s="63"/>
      <c r="AE45" s="65"/>
      <c r="AF45" s="65"/>
      <c r="AG45" s="66"/>
      <c r="AH45" s="63"/>
      <c r="AI45" s="65"/>
      <c r="AJ45" s="65"/>
      <c r="AK45" s="66"/>
      <c r="AL45" s="63"/>
      <c r="AM45" s="65"/>
      <c r="AN45" s="65"/>
      <c r="AO45" s="66"/>
      <c r="AP45" s="63"/>
      <c r="AQ45" s="65"/>
      <c r="AR45" s="65"/>
      <c r="AS45" s="66"/>
      <c r="AT45" s="63"/>
      <c r="AU45" s="65"/>
      <c r="AV45" s="65"/>
      <c r="AW45" s="66"/>
      <c r="AX45" s="63"/>
      <c r="AY45" s="65"/>
      <c r="AZ45" s="65"/>
      <c r="BA45" s="66"/>
      <c r="BB45" s="63"/>
      <c r="BC45" s="65"/>
      <c r="BD45" s="65"/>
      <c r="BE45" s="66"/>
      <c r="BF45" s="63"/>
      <c r="BG45" s="65"/>
      <c r="BH45" s="65"/>
      <c r="BI45" s="66"/>
      <c r="BJ45" s="63"/>
      <c r="BK45" s="65"/>
      <c r="BL45" s="65"/>
      <c r="BM45" s="66"/>
      <c r="BN45" s="63"/>
      <c r="BO45" s="65"/>
      <c r="BP45" s="65"/>
      <c r="BQ45" s="66"/>
      <c r="BR45" s="63"/>
      <c r="BS45" s="65"/>
      <c r="BT45" s="65"/>
      <c r="BU45" s="66"/>
      <c r="BV45" s="63"/>
      <c r="BW45" s="65"/>
      <c r="BX45" s="65"/>
      <c r="BY45" s="66"/>
      <c r="BZ45" s="63"/>
      <c r="CA45" s="65"/>
      <c r="CB45" s="65"/>
      <c r="CC45" s="66"/>
      <c r="CD45" s="63"/>
      <c r="CE45" s="65"/>
      <c r="CF45" s="65"/>
      <c r="CG45" s="66"/>
      <c r="CH45" s="34"/>
      <c r="CI45" s="39">
        <f>'QFD First House'!$J$66:$J$66</f>
        <v>1</v>
      </c>
      <c r="CJ45" s="39">
        <f>IF(CI45&lt;=(MAX(CI$44:CI45)-MIN(CI$44:CI45))*0.2, 5,IF( CI$44&lt;=(MAX(CI$44:CI45)-MIN(CI$44:CI45))*0.4, 4,IF( CI45&lt;=(MAX(CI$44:CI45)-MIN(CI$44:CI45))*0.6, 3,IF(CI45&lt;=(MAX(CI$44:CI45)-MIN(CI$44:CI45))*0.8,2,1))))</f>
        <v>1</v>
      </c>
      <c r="CK45" s="42"/>
      <c r="CL45" s="39"/>
      <c r="CM45" s="39"/>
      <c r="CN45" s="39"/>
      <c r="CO45" s="39"/>
      <c r="CP45" s="39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</row>
    <row r="46" spans="1:122" ht="29.25" customHeight="1">
      <c r="A46" s="34"/>
      <c r="B46" s="125" t="str">
        <f>IF('QFD First House'!$N$42 ="","",'QFD First House'!$N$42)</f>
        <v/>
      </c>
      <c r="C46" s="126"/>
      <c r="D46" s="46"/>
      <c r="E46" s="34"/>
      <c r="F46" s="63"/>
      <c r="G46" s="65"/>
      <c r="H46" s="65"/>
      <c r="I46" s="66"/>
      <c r="J46" s="63"/>
      <c r="K46" s="65"/>
      <c r="L46" s="65"/>
      <c r="M46" s="66"/>
      <c r="N46" s="63"/>
      <c r="O46" s="65"/>
      <c r="P46" s="65"/>
      <c r="Q46" s="66"/>
      <c r="R46" s="63"/>
      <c r="S46" s="65"/>
      <c r="T46" s="65"/>
      <c r="U46" s="66"/>
      <c r="V46" s="63"/>
      <c r="W46" s="65"/>
      <c r="X46" s="65"/>
      <c r="Y46" s="66"/>
      <c r="Z46" s="63"/>
      <c r="AA46" s="65"/>
      <c r="AB46" s="65"/>
      <c r="AC46" s="66"/>
      <c r="AD46" s="63"/>
      <c r="AE46" s="65"/>
      <c r="AF46" s="65"/>
      <c r="AG46" s="66"/>
      <c r="AH46" s="63"/>
      <c r="AI46" s="65"/>
      <c r="AJ46" s="65"/>
      <c r="AK46" s="66"/>
      <c r="AL46" s="63"/>
      <c r="AM46" s="65"/>
      <c r="AN46" s="65"/>
      <c r="AO46" s="66"/>
      <c r="AP46" s="63"/>
      <c r="AQ46" s="65"/>
      <c r="AR46" s="65"/>
      <c r="AS46" s="66"/>
      <c r="AT46" s="63"/>
      <c r="AU46" s="65"/>
      <c r="AV46" s="65"/>
      <c r="AW46" s="66"/>
      <c r="AX46" s="63"/>
      <c r="AY46" s="65"/>
      <c r="AZ46" s="65"/>
      <c r="BA46" s="66"/>
      <c r="BB46" s="63"/>
      <c r="BC46" s="65"/>
      <c r="BD46" s="65"/>
      <c r="BE46" s="66"/>
      <c r="BF46" s="63"/>
      <c r="BG46" s="65"/>
      <c r="BH46" s="65"/>
      <c r="BI46" s="66"/>
      <c r="BJ46" s="63"/>
      <c r="BK46" s="65"/>
      <c r="BL46" s="65"/>
      <c r="BM46" s="66"/>
      <c r="BN46" s="63"/>
      <c r="BO46" s="65"/>
      <c r="BP46" s="65"/>
      <c r="BQ46" s="66"/>
      <c r="BR46" s="63"/>
      <c r="BS46" s="65"/>
      <c r="BT46" s="65"/>
      <c r="BU46" s="66"/>
      <c r="BV46" s="63"/>
      <c r="BW46" s="65"/>
      <c r="BX46" s="65"/>
      <c r="BY46" s="66"/>
      <c r="BZ46" s="63"/>
      <c r="CA46" s="65"/>
      <c r="CB46" s="65"/>
      <c r="CC46" s="66"/>
      <c r="CD46" s="63"/>
      <c r="CE46" s="65"/>
      <c r="CF46" s="65"/>
      <c r="CG46" s="66"/>
      <c r="CH46" s="34"/>
      <c r="CI46" s="39">
        <f>'QFD First House'!$N$66:$N$66</f>
        <v>1</v>
      </c>
      <c r="CJ46" s="39">
        <f>IF(CI46&lt;=(MAX(CI$44:CI46)-MIN(CI$44:CI46))*0.2, 5,IF( CI$44&lt;=(MAX(CI$44:CI46)-MIN(CI$44:CI46))*0.4, 4,IF( CI46&lt;=(MAX(CI$44:CI46)-MIN(CI$44:CI46))*0.6, 3,IF(CI46&lt;=(MAX(CI$44:CI46)-MIN(CI$44:CI46))*0.8,2,1))))</f>
        <v>1</v>
      </c>
      <c r="CK46" s="42"/>
      <c r="CL46" s="39"/>
      <c r="CM46" s="39"/>
      <c r="CN46" s="39"/>
      <c r="CO46" s="39"/>
      <c r="CP46" s="39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</row>
    <row r="47" spans="1:122" ht="29.25" customHeight="1">
      <c r="A47" s="34"/>
      <c r="B47" s="125" t="str">
        <f>IF('QFD First House'!$R$42 ="","",'QFD First House'!$R$42)</f>
        <v/>
      </c>
      <c r="C47" s="126"/>
      <c r="D47" s="46"/>
      <c r="E47" s="34"/>
      <c r="F47" s="63"/>
      <c r="G47" s="65"/>
      <c r="H47" s="65"/>
      <c r="I47" s="66"/>
      <c r="J47" s="63"/>
      <c r="K47" s="65"/>
      <c r="L47" s="65"/>
      <c r="M47" s="66"/>
      <c r="N47" s="63"/>
      <c r="O47" s="65"/>
      <c r="P47" s="65"/>
      <c r="Q47" s="66"/>
      <c r="R47" s="63"/>
      <c r="S47" s="65"/>
      <c r="T47" s="65"/>
      <c r="U47" s="66"/>
      <c r="V47" s="63"/>
      <c r="W47" s="65"/>
      <c r="X47" s="65"/>
      <c r="Y47" s="66"/>
      <c r="Z47" s="63"/>
      <c r="AA47" s="65"/>
      <c r="AB47" s="65"/>
      <c r="AC47" s="66"/>
      <c r="AD47" s="63"/>
      <c r="AE47" s="65"/>
      <c r="AF47" s="65"/>
      <c r="AG47" s="66"/>
      <c r="AH47" s="63"/>
      <c r="AI47" s="65"/>
      <c r="AJ47" s="65"/>
      <c r="AK47" s="66"/>
      <c r="AL47" s="63"/>
      <c r="AM47" s="65"/>
      <c r="AN47" s="65"/>
      <c r="AO47" s="66"/>
      <c r="AP47" s="63"/>
      <c r="AQ47" s="65"/>
      <c r="AR47" s="65"/>
      <c r="AS47" s="66"/>
      <c r="AT47" s="63"/>
      <c r="AU47" s="65"/>
      <c r="AV47" s="65"/>
      <c r="AW47" s="66"/>
      <c r="AX47" s="63"/>
      <c r="AY47" s="65"/>
      <c r="AZ47" s="65"/>
      <c r="BA47" s="66"/>
      <c r="BB47" s="63"/>
      <c r="BC47" s="65"/>
      <c r="BD47" s="65"/>
      <c r="BE47" s="66"/>
      <c r="BF47" s="63"/>
      <c r="BG47" s="65"/>
      <c r="BH47" s="65"/>
      <c r="BI47" s="66"/>
      <c r="BJ47" s="63"/>
      <c r="BK47" s="65"/>
      <c r="BL47" s="65"/>
      <c r="BM47" s="66"/>
      <c r="BN47" s="63"/>
      <c r="BO47" s="65"/>
      <c r="BP47" s="65"/>
      <c r="BQ47" s="66"/>
      <c r="BR47" s="63"/>
      <c r="BS47" s="65"/>
      <c r="BT47" s="65"/>
      <c r="BU47" s="66"/>
      <c r="BV47" s="63"/>
      <c r="BW47" s="65"/>
      <c r="BX47" s="65"/>
      <c r="BY47" s="66"/>
      <c r="BZ47" s="63"/>
      <c r="CA47" s="65"/>
      <c r="CB47" s="65"/>
      <c r="CC47" s="66"/>
      <c r="CD47" s="63"/>
      <c r="CE47" s="65"/>
      <c r="CF47" s="65"/>
      <c r="CG47" s="66"/>
      <c r="CH47" s="34"/>
      <c r="CI47" s="39">
        <f>'QFD First House'!$R$66:$R$66</f>
        <v>1</v>
      </c>
      <c r="CJ47" s="39">
        <f>IF(CI47&lt;=(MAX(CI$44:CI47)-MIN(CI$44:CI47))*0.2, 5,IF( CI$44&lt;=(MAX(CI$44:CI47)-MIN(CI$44:CI47))*0.4, 4,IF( CI47&lt;=(MAX(CI$44:CI47)-MIN(CI$44:CI47))*0.6, 3,IF(CI47&lt;=(MAX(CI$44:CI47)-MIN(CI$44:CI47))*0.8,2,1))))</f>
        <v>1</v>
      </c>
      <c r="CK47" s="42"/>
      <c r="CL47" s="39"/>
      <c r="CM47" s="39"/>
      <c r="CN47" s="39"/>
      <c r="CO47" s="39"/>
      <c r="CP47" s="39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</row>
    <row r="48" spans="1:122" ht="29.25" customHeight="1">
      <c r="A48" s="34"/>
      <c r="B48" s="125" t="str">
        <f>IF('QFD First House'!$V$42 ="","",'QFD First House'!$V$42)</f>
        <v/>
      </c>
      <c r="C48" s="126"/>
      <c r="D48" s="46"/>
      <c r="E48" s="34"/>
      <c r="F48" s="63"/>
      <c r="G48" s="65"/>
      <c r="H48" s="65"/>
      <c r="I48" s="66"/>
      <c r="J48" s="63"/>
      <c r="K48" s="65"/>
      <c r="L48" s="65"/>
      <c r="M48" s="66"/>
      <c r="N48" s="63"/>
      <c r="O48" s="65"/>
      <c r="P48" s="65"/>
      <c r="Q48" s="66"/>
      <c r="R48" s="63"/>
      <c r="S48" s="65"/>
      <c r="T48" s="65"/>
      <c r="U48" s="66"/>
      <c r="V48" s="63"/>
      <c r="W48" s="65"/>
      <c r="X48" s="65"/>
      <c r="Y48" s="66"/>
      <c r="Z48" s="63"/>
      <c r="AA48" s="65"/>
      <c r="AB48" s="65"/>
      <c r="AC48" s="66"/>
      <c r="AD48" s="63"/>
      <c r="AE48" s="65"/>
      <c r="AF48" s="65"/>
      <c r="AG48" s="66"/>
      <c r="AH48" s="63"/>
      <c r="AI48" s="65"/>
      <c r="AJ48" s="65"/>
      <c r="AK48" s="66"/>
      <c r="AL48" s="63"/>
      <c r="AM48" s="65"/>
      <c r="AN48" s="65"/>
      <c r="AO48" s="66"/>
      <c r="AP48" s="63"/>
      <c r="AQ48" s="65"/>
      <c r="AR48" s="65"/>
      <c r="AS48" s="66"/>
      <c r="AT48" s="63"/>
      <c r="AU48" s="65"/>
      <c r="AV48" s="65"/>
      <c r="AW48" s="66"/>
      <c r="AX48" s="63"/>
      <c r="AY48" s="65"/>
      <c r="AZ48" s="65"/>
      <c r="BA48" s="66"/>
      <c r="BB48" s="63"/>
      <c r="BC48" s="65"/>
      <c r="BD48" s="65"/>
      <c r="BE48" s="66"/>
      <c r="BF48" s="63"/>
      <c r="BG48" s="65"/>
      <c r="BH48" s="65"/>
      <c r="BI48" s="66"/>
      <c r="BJ48" s="63"/>
      <c r="BK48" s="65"/>
      <c r="BL48" s="65"/>
      <c r="BM48" s="66"/>
      <c r="BN48" s="63"/>
      <c r="BO48" s="65"/>
      <c r="BP48" s="65"/>
      <c r="BQ48" s="66"/>
      <c r="BR48" s="63"/>
      <c r="BS48" s="65"/>
      <c r="BT48" s="65"/>
      <c r="BU48" s="66"/>
      <c r="BV48" s="63"/>
      <c r="BW48" s="65"/>
      <c r="BX48" s="65"/>
      <c r="BY48" s="66"/>
      <c r="BZ48" s="63"/>
      <c r="CA48" s="65"/>
      <c r="CB48" s="65"/>
      <c r="CC48" s="66"/>
      <c r="CD48" s="63"/>
      <c r="CE48" s="65"/>
      <c r="CF48" s="65"/>
      <c r="CG48" s="66"/>
      <c r="CH48" s="34"/>
      <c r="CI48" s="39">
        <f>'QFD First House'!$V$66:$V$66</f>
        <v>1</v>
      </c>
      <c r="CJ48" s="39">
        <f>IF(CI48&lt;=(MAX(CI$44:CI48)-MIN(CI$44:CI48))*0.2, 5,IF( CI$44&lt;=(MAX(CI$44:CI48)-MIN(CI$44:CI48))*0.4, 4,IF( CI48&lt;=(MAX(CI$44:CI48)-MIN(CI$44:CI48))*0.6, 3,IF(CI48&lt;=(MAX(CI$44:CI48)-MIN(CI$44:CI48))*0.8,2,1))))</f>
        <v>1</v>
      </c>
      <c r="CK48" s="42"/>
      <c r="CL48" s="39"/>
      <c r="CM48" s="39"/>
      <c r="CN48" s="39"/>
      <c r="CO48" s="39"/>
      <c r="CP48" s="39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</row>
    <row r="49" spans="1:122" ht="29.25" customHeight="1">
      <c r="A49" s="34"/>
      <c r="B49" s="125" t="str">
        <f>IF('QFD First House'!$Z$42 ="","",'QFD First House'!$Z$42)</f>
        <v/>
      </c>
      <c r="C49" s="126"/>
      <c r="D49" s="46"/>
      <c r="E49" s="34"/>
      <c r="F49" s="63"/>
      <c r="G49" s="65"/>
      <c r="H49" s="65"/>
      <c r="I49" s="66"/>
      <c r="J49" s="63"/>
      <c r="K49" s="65"/>
      <c r="L49" s="65"/>
      <c r="M49" s="66"/>
      <c r="N49" s="63"/>
      <c r="O49" s="65"/>
      <c r="P49" s="65"/>
      <c r="Q49" s="66"/>
      <c r="R49" s="63"/>
      <c r="S49" s="65"/>
      <c r="T49" s="65"/>
      <c r="U49" s="66"/>
      <c r="V49" s="63"/>
      <c r="W49" s="65"/>
      <c r="X49" s="65"/>
      <c r="Y49" s="66"/>
      <c r="Z49" s="63"/>
      <c r="AA49" s="65"/>
      <c r="AB49" s="65"/>
      <c r="AC49" s="66"/>
      <c r="AD49" s="63"/>
      <c r="AE49" s="65"/>
      <c r="AF49" s="65"/>
      <c r="AG49" s="66"/>
      <c r="AH49" s="63"/>
      <c r="AI49" s="65"/>
      <c r="AJ49" s="65"/>
      <c r="AK49" s="66"/>
      <c r="AL49" s="63"/>
      <c r="AM49" s="65"/>
      <c r="AN49" s="65"/>
      <c r="AO49" s="66"/>
      <c r="AP49" s="63"/>
      <c r="AQ49" s="65"/>
      <c r="AR49" s="65"/>
      <c r="AS49" s="66"/>
      <c r="AT49" s="63"/>
      <c r="AU49" s="65"/>
      <c r="AV49" s="65"/>
      <c r="AW49" s="66"/>
      <c r="AX49" s="63"/>
      <c r="AY49" s="65"/>
      <c r="AZ49" s="65"/>
      <c r="BA49" s="66"/>
      <c r="BB49" s="63"/>
      <c r="BC49" s="65"/>
      <c r="BD49" s="65"/>
      <c r="BE49" s="66"/>
      <c r="BF49" s="63"/>
      <c r="BG49" s="65"/>
      <c r="BH49" s="65"/>
      <c r="BI49" s="66"/>
      <c r="BJ49" s="63"/>
      <c r="BK49" s="65"/>
      <c r="BL49" s="65"/>
      <c r="BM49" s="66"/>
      <c r="BN49" s="63"/>
      <c r="BO49" s="65"/>
      <c r="BP49" s="65"/>
      <c r="BQ49" s="66"/>
      <c r="BR49" s="63"/>
      <c r="BS49" s="65"/>
      <c r="BT49" s="65"/>
      <c r="BU49" s="66"/>
      <c r="BV49" s="63"/>
      <c r="BW49" s="65"/>
      <c r="BX49" s="65"/>
      <c r="BY49" s="66"/>
      <c r="BZ49" s="63"/>
      <c r="CA49" s="65"/>
      <c r="CB49" s="65"/>
      <c r="CC49" s="66"/>
      <c r="CD49" s="63"/>
      <c r="CE49" s="65"/>
      <c r="CF49" s="65"/>
      <c r="CG49" s="66"/>
      <c r="CH49" s="34"/>
      <c r="CI49" s="39">
        <f>'QFD First House'!$Z$66:$Z$66</f>
        <v>1</v>
      </c>
      <c r="CJ49" s="39">
        <f>IF(CI49&lt;=(MAX(CI$44:CI49)-MIN(CI$44:CI49))*0.2, 5,IF( CI$44&lt;=(MAX(CI$44:CI49)-MIN(CI$44:CI49))*0.4, 4,IF( CI49&lt;=(MAX(CI$44:CI49)-MIN(CI$44:CI49))*0.6, 3,IF(CI49&lt;=(MAX(CI$44:CI49)-MIN(CI$44:CI49))*0.8,2,1))))</f>
        <v>1</v>
      </c>
      <c r="CK49" s="42"/>
      <c r="CL49" s="39"/>
      <c r="CM49" s="39"/>
      <c r="CN49" s="39"/>
      <c r="CO49" s="39"/>
      <c r="CP49" s="39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</row>
    <row r="50" spans="1:122" ht="29.25" customHeight="1">
      <c r="A50" s="34"/>
      <c r="B50" s="125" t="str">
        <f>IF('QFD First House'!$AD$42 ="","",'QFD First House'!$AD$42)</f>
        <v/>
      </c>
      <c r="C50" s="126"/>
      <c r="D50" s="46"/>
      <c r="E50" s="34"/>
      <c r="F50" s="63"/>
      <c r="G50" s="65"/>
      <c r="H50" s="65"/>
      <c r="I50" s="66"/>
      <c r="J50" s="63"/>
      <c r="K50" s="65"/>
      <c r="L50" s="65"/>
      <c r="M50" s="66"/>
      <c r="N50" s="63"/>
      <c r="O50" s="65"/>
      <c r="P50" s="65"/>
      <c r="Q50" s="66"/>
      <c r="R50" s="63"/>
      <c r="S50" s="65"/>
      <c r="T50" s="65"/>
      <c r="U50" s="66"/>
      <c r="V50" s="63"/>
      <c r="W50" s="65"/>
      <c r="X50" s="65"/>
      <c r="Y50" s="66"/>
      <c r="Z50" s="63"/>
      <c r="AA50" s="65"/>
      <c r="AB50" s="65"/>
      <c r="AC50" s="66"/>
      <c r="AD50" s="63"/>
      <c r="AE50" s="65"/>
      <c r="AF50" s="65"/>
      <c r="AG50" s="66"/>
      <c r="AH50" s="63"/>
      <c r="AI50" s="65"/>
      <c r="AJ50" s="65"/>
      <c r="AK50" s="66"/>
      <c r="AL50" s="63"/>
      <c r="AM50" s="65"/>
      <c r="AN50" s="65"/>
      <c r="AO50" s="66"/>
      <c r="AP50" s="63"/>
      <c r="AQ50" s="65"/>
      <c r="AR50" s="65"/>
      <c r="AS50" s="66"/>
      <c r="AT50" s="63"/>
      <c r="AU50" s="65"/>
      <c r="AV50" s="65"/>
      <c r="AW50" s="66"/>
      <c r="AX50" s="63"/>
      <c r="AY50" s="65"/>
      <c r="AZ50" s="65"/>
      <c r="BA50" s="66"/>
      <c r="BB50" s="63"/>
      <c r="BC50" s="65"/>
      <c r="BD50" s="65"/>
      <c r="BE50" s="66"/>
      <c r="BF50" s="63"/>
      <c r="BG50" s="65"/>
      <c r="BH50" s="65"/>
      <c r="BI50" s="66"/>
      <c r="BJ50" s="63"/>
      <c r="BK50" s="65"/>
      <c r="BL50" s="65"/>
      <c r="BM50" s="66"/>
      <c r="BN50" s="63"/>
      <c r="BO50" s="65"/>
      <c r="BP50" s="65"/>
      <c r="BQ50" s="66"/>
      <c r="BR50" s="63"/>
      <c r="BS50" s="65"/>
      <c r="BT50" s="65"/>
      <c r="BU50" s="66"/>
      <c r="BV50" s="63"/>
      <c r="BW50" s="65"/>
      <c r="BX50" s="65"/>
      <c r="BY50" s="66"/>
      <c r="BZ50" s="63"/>
      <c r="CA50" s="65"/>
      <c r="CB50" s="65"/>
      <c r="CC50" s="66"/>
      <c r="CD50" s="63"/>
      <c r="CE50" s="65"/>
      <c r="CF50" s="65"/>
      <c r="CG50" s="66"/>
      <c r="CH50" s="34"/>
      <c r="CI50" s="39">
        <f>'QFD First House'!$AD$66:$AD$66</f>
        <v>1</v>
      </c>
      <c r="CJ50" s="39">
        <f>IF(CI50&lt;=(MAX(CI$44:CI50)-MIN(CI$44:CI50))*0.2, 5,IF( CI$44&lt;=(MAX(CI$44:CI50)-MIN(CI$44:CI50))*0.4, 4,IF( CI50&lt;=(MAX(CI$44:CI50)-MIN(CI$44:CI50))*0.6, 3,IF(CI50&lt;=(MAX(CI$44:CI50)-MIN(CI$44:CI50))*0.8,2,1))))</f>
        <v>1</v>
      </c>
      <c r="CK50" s="42"/>
      <c r="CL50" s="39"/>
      <c r="CM50" s="39"/>
      <c r="CN50" s="39"/>
      <c r="CO50" s="39"/>
      <c r="CP50" s="39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</row>
    <row r="51" spans="1:122" ht="29.25" customHeight="1">
      <c r="A51" s="34"/>
      <c r="B51" s="125" t="str">
        <f>IF('QFD First House'!$AH$42 ="","",'QFD First House'!$AH$42)</f>
        <v/>
      </c>
      <c r="C51" s="126"/>
      <c r="D51" s="46"/>
      <c r="E51" s="34"/>
      <c r="F51" s="63"/>
      <c r="G51" s="65"/>
      <c r="H51" s="65"/>
      <c r="I51" s="66"/>
      <c r="J51" s="63"/>
      <c r="K51" s="65"/>
      <c r="L51" s="65"/>
      <c r="M51" s="66"/>
      <c r="N51" s="63"/>
      <c r="O51" s="65"/>
      <c r="P51" s="65"/>
      <c r="Q51" s="66"/>
      <c r="R51" s="63"/>
      <c r="S51" s="65"/>
      <c r="T51" s="65"/>
      <c r="U51" s="66"/>
      <c r="V51" s="63"/>
      <c r="W51" s="65"/>
      <c r="X51" s="65"/>
      <c r="Y51" s="66"/>
      <c r="Z51" s="63"/>
      <c r="AA51" s="65"/>
      <c r="AB51" s="65"/>
      <c r="AC51" s="66"/>
      <c r="AD51" s="63"/>
      <c r="AE51" s="65"/>
      <c r="AF51" s="65"/>
      <c r="AG51" s="66"/>
      <c r="AH51" s="63"/>
      <c r="AI51" s="65"/>
      <c r="AJ51" s="65"/>
      <c r="AK51" s="66"/>
      <c r="AL51" s="63"/>
      <c r="AM51" s="65"/>
      <c r="AN51" s="65"/>
      <c r="AO51" s="66"/>
      <c r="AP51" s="63"/>
      <c r="AQ51" s="65"/>
      <c r="AR51" s="65"/>
      <c r="AS51" s="66"/>
      <c r="AT51" s="63"/>
      <c r="AU51" s="65"/>
      <c r="AV51" s="65"/>
      <c r="AW51" s="66"/>
      <c r="AX51" s="63"/>
      <c r="AY51" s="65"/>
      <c r="AZ51" s="65"/>
      <c r="BA51" s="66"/>
      <c r="BB51" s="63"/>
      <c r="BC51" s="65"/>
      <c r="BD51" s="65"/>
      <c r="BE51" s="66"/>
      <c r="BF51" s="63"/>
      <c r="BG51" s="65"/>
      <c r="BH51" s="65"/>
      <c r="BI51" s="66"/>
      <c r="BJ51" s="63"/>
      <c r="BK51" s="65"/>
      <c r="BL51" s="65"/>
      <c r="BM51" s="66"/>
      <c r="BN51" s="63"/>
      <c r="BO51" s="65"/>
      <c r="BP51" s="65"/>
      <c r="BQ51" s="66"/>
      <c r="BR51" s="63"/>
      <c r="BS51" s="65"/>
      <c r="BT51" s="65"/>
      <c r="BU51" s="66"/>
      <c r="BV51" s="63"/>
      <c r="BW51" s="65"/>
      <c r="BX51" s="65"/>
      <c r="BY51" s="66"/>
      <c r="BZ51" s="63"/>
      <c r="CA51" s="65"/>
      <c r="CB51" s="65"/>
      <c r="CC51" s="66"/>
      <c r="CD51" s="63"/>
      <c r="CE51" s="65"/>
      <c r="CF51" s="65"/>
      <c r="CG51" s="66"/>
      <c r="CH51" s="34"/>
      <c r="CI51" s="39">
        <f>'QFD First House'!$AH$66:$AH$66</f>
        <v>1</v>
      </c>
      <c r="CJ51" s="39">
        <f>IF(CI51&lt;=(MAX(CI$44:CI51)-MIN(CI$44:CI51))*0.2, 5,IF( CI$44&lt;=(MAX(CI$44:CI51)-MIN(CI$44:CI51))*0.4, 4,IF( CI51&lt;=(MAX(CI$44:CI51)-MIN(CI$44:CI51))*0.6, 3,IF(CI51&lt;=(MAX(CI$44:CI51)-MIN(CI$44:CI51))*0.8,2,1))))</f>
        <v>1</v>
      </c>
      <c r="CK51" s="42"/>
      <c r="CL51" s="39"/>
      <c r="CM51" s="39"/>
      <c r="CN51" s="39"/>
      <c r="CO51" s="39"/>
      <c r="CP51" s="39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</row>
    <row r="52" spans="1:122" ht="29.25" customHeight="1">
      <c r="A52" s="34"/>
      <c r="B52" s="125" t="str">
        <f>IF('QFD First House'!$AL$42 ="","",'QFD First House'!$AL$42)</f>
        <v/>
      </c>
      <c r="C52" s="126"/>
      <c r="D52" s="46"/>
      <c r="E52" s="34"/>
      <c r="F52" s="63"/>
      <c r="G52" s="65"/>
      <c r="H52" s="65"/>
      <c r="I52" s="66"/>
      <c r="J52" s="63"/>
      <c r="K52" s="65"/>
      <c r="L52" s="65"/>
      <c r="M52" s="66"/>
      <c r="N52" s="63"/>
      <c r="O52" s="65"/>
      <c r="P52" s="65"/>
      <c r="Q52" s="66"/>
      <c r="R52" s="63"/>
      <c r="S52" s="65"/>
      <c r="T52" s="65"/>
      <c r="U52" s="66"/>
      <c r="V52" s="63"/>
      <c r="W52" s="65"/>
      <c r="X52" s="65"/>
      <c r="Y52" s="66"/>
      <c r="Z52" s="63"/>
      <c r="AA52" s="65"/>
      <c r="AB52" s="65"/>
      <c r="AC52" s="66"/>
      <c r="AD52" s="63"/>
      <c r="AE52" s="65"/>
      <c r="AF52" s="65"/>
      <c r="AG52" s="66"/>
      <c r="AH52" s="63"/>
      <c r="AI52" s="65"/>
      <c r="AJ52" s="65"/>
      <c r="AK52" s="66"/>
      <c r="AL52" s="63"/>
      <c r="AM52" s="65"/>
      <c r="AN52" s="65"/>
      <c r="AO52" s="66"/>
      <c r="AP52" s="63"/>
      <c r="AQ52" s="65"/>
      <c r="AR52" s="65"/>
      <c r="AS52" s="66"/>
      <c r="AT52" s="63"/>
      <c r="AU52" s="65"/>
      <c r="AV52" s="65"/>
      <c r="AW52" s="66"/>
      <c r="AX52" s="63"/>
      <c r="AY52" s="65"/>
      <c r="AZ52" s="65"/>
      <c r="BA52" s="66"/>
      <c r="BB52" s="63"/>
      <c r="BC52" s="65"/>
      <c r="BD52" s="65"/>
      <c r="BE52" s="66"/>
      <c r="BF52" s="63"/>
      <c r="BG52" s="65"/>
      <c r="BH52" s="65"/>
      <c r="BI52" s="66"/>
      <c r="BJ52" s="63"/>
      <c r="BK52" s="65"/>
      <c r="BL52" s="65"/>
      <c r="BM52" s="66"/>
      <c r="BN52" s="63"/>
      <c r="BO52" s="65"/>
      <c r="BP52" s="65"/>
      <c r="BQ52" s="66"/>
      <c r="BR52" s="63"/>
      <c r="BS52" s="65"/>
      <c r="BT52" s="65"/>
      <c r="BU52" s="66"/>
      <c r="BV52" s="63"/>
      <c r="BW52" s="65"/>
      <c r="BX52" s="65"/>
      <c r="BY52" s="66"/>
      <c r="BZ52" s="63"/>
      <c r="CA52" s="65"/>
      <c r="CB52" s="65"/>
      <c r="CC52" s="66"/>
      <c r="CD52" s="63"/>
      <c r="CE52" s="65"/>
      <c r="CF52" s="65"/>
      <c r="CG52" s="66"/>
      <c r="CH52" s="34"/>
      <c r="CI52" s="39">
        <f>'QFD First House'!$AL$66:$AL$66</f>
        <v>1</v>
      </c>
      <c r="CJ52" s="39">
        <f>IF(CI52&lt;=(MAX(CI$44:CI52)-MIN(CI$44:CI52))*0.2, 5,IF( CI$44&lt;=(MAX(CI$44:CI52)-MIN(CI$44:CI52))*0.4, 4,IF( CI52&lt;=(MAX(CI$44:CI52)-MIN(CI$44:CI52))*0.6, 3,IF(CI52&lt;=(MAX(CI$44:CI52)-MIN(CI$44:CI52))*0.8,2,1))))</f>
        <v>1</v>
      </c>
      <c r="CK52" s="42"/>
      <c r="CL52" s="39"/>
      <c r="CM52" s="39"/>
      <c r="CN52" s="39"/>
      <c r="CO52" s="39"/>
      <c r="CP52" s="39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</row>
    <row r="53" spans="1:122" ht="29.25" customHeight="1">
      <c r="A53" s="34"/>
      <c r="B53" s="125" t="str">
        <f>IF('QFD First House'!$AP$42 ="","",'QFD First House'!$AP$42)</f>
        <v/>
      </c>
      <c r="C53" s="126"/>
      <c r="D53" s="46"/>
      <c r="E53" s="34"/>
      <c r="F53" s="63"/>
      <c r="G53" s="65"/>
      <c r="H53" s="65"/>
      <c r="I53" s="66"/>
      <c r="J53" s="63"/>
      <c r="K53" s="65"/>
      <c r="L53" s="65"/>
      <c r="M53" s="66"/>
      <c r="N53" s="63"/>
      <c r="O53" s="65"/>
      <c r="P53" s="65"/>
      <c r="Q53" s="66"/>
      <c r="R53" s="63"/>
      <c r="S53" s="65"/>
      <c r="T53" s="65"/>
      <c r="U53" s="66"/>
      <c r="V53" s="63"/>
      <c r="W53" s="65"/>
      <c r="X53" s="65"/>
      <c r="Y53" s="66"/>
      <c r="Z53" s="63"/>
      <c r="AA53" s="65"/>
      <c r="AB53" s="65"/>
      <c r="AC53" s="66"/>
      <c r="AD53" s="63"/>
      <c r="AE53" s="65"/>
      <c r="AF53" s="65"/>
      <c r="AG53" s="66"/>
      <c r="AH53" s="63"/>
      <c r="AI53" s="65"/>
      <c r="AJ53" s="65"/>
      <c r="AK53" s="66"/>
      <c r="AL53" s="63"/>
      <c r="AM53" s="65"/>
      <c r="AN53" s="65"/>
      <c r="AO53" s="66"/>
      <c r="AP53" s="63"/>
      <c r="AQ53" s="65"/>
      <c r="AR53" s="65"/>
      <c r="AS53" s="66"/>
      <c r="AT53" s="63"/>
      <c r="AU53" s="65"/>
      <c r="AV53" s="65"/>
      <c r="AW53" s="66"/>
      <c r="AX53" s="63"/>
      <c r="AY53" s="65"/>
      <c r="AZ53" s="65"/>
      <c r="BA53" s="66"/>
      <c r="BB53" s="63"/>
      <c r="BC53" s="65"/>
      <c r="BD53" s="65"/>
      <c r="BE53" s="66"/>
      <c r="BF53" s="63"/>
      <c r="BG53" s="65"/>
      <c r="BH53" s="65"/>
      <c r="BI53" s="66"/>
      <c r="BJ53" s="63"/>
      <c r="BK53" s="65"/>
      <c r="BL53" s="65"/>
      <c r="BM53" s="66"/>
      <c r="BN53" s="63"/>
      <c r="BO53" s="65"/>
      <c r="BP53" s="65"/>
      <c r="BQ53" s="66"/>
      <c r="BR53" s="63"/>
      <c r="BS53" s="65"/>
      <c r="BT53" s="65"/>
      <c r="BU53" s="66"/>
      <c r="BV53" s="63"/>
      <c r="BW53" s="65"/>
      <c r="BX53" s="65"/>
      <c r="BY53" s="66"/>
      <c r="BZ53" s="63"/>
      <c r="CA53" s="65"/>
      <c r="CB53" s="65"/>
      <c r="CC53" s="66"/>
      <c r="CD53" s="63"/>
      <c r="CE53" s="65"/>
      <c r="CF53" s="65"/>
      <c r="CG53" s="66"/>
      <c r="CH53" s="34"/>
      <c r="CI53" s="39">
        <f>'QFD First House'!$AP$66:$AP$66</f>
        <v>1</v>
      </c>
      <c r="CJ53" s="39">
        <f>IF(CI53&lt;=(MAX(CI$44:CI53)-MIN(CI$44:CI53))*0.2, 5,IF( CI$44&lt;=(MAX(CI$44:CI53)-MIN(CI$44:CI53))*0.4, 4,IF( CI53&lt;=(MAX(CI$44:CI53)-MIN(CI$44:CI53))*0.6, 3,IF(CI53&lt;=(MAX(CI$44:CI53)-MIN(CI$44:CI53))*0.8,2,1))))</f>
        <v>1</v>
      </c>
      <c r="CK53" s="42"/>
      <c r="CL53" s="39"/>
      <c r="CM53" s="39"/>
      <c r="CN53" s="39"/>
      <c r="CO53" s="39"/>
      <c r="CP53" s="39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</row>
    <row r="54" spans="1:122" ht="29.25" customHeight="1">
      <c r="A54" s="34"/>
      <c r="B54" s="125" t="str">
        <f>IF('QFD First House'!$AT$42 ="","",'QFD First House'!$AT$42)</f>
        <v/>
      </c>
      <c r="C54" s="126"/>
      <c r="D54" s="46"/>
      <c r="E54" s="34"/>
      <c r="F54" s="63"/>
      <c r="G54" s="65"/>
      <c r="H54" s="65"/>
      <c r="I54" s="66"/>
      <c r="J54" s="63"/>
      <c r="K54" s="65"/>
      <c r="L54" s="65"/>
      <c r="M54" s="66"/>
      <c r="N54" s="63"/>
      <c r="O54" s="65"/>
      <c r="P54" s="65"/>
      <c r="Q54" s="66"/>
      <c r="R54" s="63"/>
      <c r="S54" s="65"/>
      <c r="T54" s="65"/>
      <c r="U54" s="66"/>
      <c r="V54" s="63"/>
      <c r="W54" s="65"/>
      <c r="X54" s="65"/>
      <c r="Y54" s="66"/>
      <c r="Z54" s="63"/>
      <c r="AA54" s="65"/>
      <c r="AB54" s="65"/>
      <c r="AC54" s="66"/>
      <c r="AD54" s="63"/>
      <c r="AE54" s="65"/>
      <c r="AF54" s="65"/>
      <c r="AG54" s="66"/>
      <c r="AH54" s="63"/>
      <c r="AI54" s="65"/>
      <c r="AJ54" s="65"/>
      <c r="AK54" s="66"/>
      <c r="AL54" s="63"/>
      <c r="AM54" s="65"/>
      <c r="AN54" s="65"/>
      <c r="AO54" s="66"/>
      <c r="AP54" s="63"/>
      <c r="AQ54" s="65"/>
      <c r="AR54" s="65"/>
      <c r="AS54" s="66"/>
      <c r="AT54" s="63"/>
      <c r="AU54" s="65"/>
      <c r="AV54" s="65"/>
      <c r="AW54" s="66"/>
      <c r="AX54" s="63"/>
      <c r="AY54" s="65"/>
      <c r="AZ54" s="65"/>
      <c r="BA54" s="66"/>
      <c r="BB54" s="63"/>
      <c r="BC54" s="65"/>
      <c r="BD54" s="65"/>
      <c r="BE54" s="66"/>
      <c r="BF54" s="63"/>
      <c r="BG54" s="65"/>
      <c r="BH54" s="65"/>
      <c r="BI54" s="66"/>
      <c r="BJ54" s="63"/>
      <c r="BK54" s="65"/>
      <c r="BL54" s="65"/>
      <c r="BM54" s="66"/>
      <c r="BN54" s="63"/>
      <c r="BO54" s="65"/>
      <c r="BP54" s="65"/>
      <c r="BQ54" s="66"/>
      <c r="BR54" s="63"/>
      <c r="BS54" s="65"/>
      <c r="BT54" s="65"/>
      <c r="BU54" s="66"/>
      <c r="BV54" s="63"/>
      <c r="BW54" s="65"/>
      <c r="BX54" s="65"/>
      <c r="BY54" s="66"/>
      <c r="BZ54" s="63"/>
      <c r="CA54" s="65"/>
      <c r="CB54" s="65"/>
      <c r="CC54" s="66"/>
      <c r="CD54" s="63"/>
      <c r="CE54" s="65"/>
      <c r="CF54" s="65"/>
      <c r="CG54" s="66"/>
      <c r="CH54" s="34"/>
      <c r="CI54" s="39">
        <f>'QFD First House'!$AT$66:$AT$66</f>
        <v>1</v>
      </c>
      <c r="CJ54" s="39">
        <f>IF(CI54&lt;=(MAX(CI$44:CI54)-MIN(CI$44:CI54))*0.2, 5,IF( CI$44&lt;=(MAX(CI$44:CI54)-MIN(CI$44:CI54))*0.4, 4,IF( CI54&lt;=(MAX(CI$44:CI54)-MIN(CI$44:CI54))*0.6, 3,IF(CI54&lt;=(MAX(CI$44:CI54)-MIN(CI$44:CI54))*0.8,2,1))))</f>
        <v>1</v>
      </c>
      <c r="CK54" s="42"/>
      <c r="CL54" s="39"/>
      <c r="CM54" s="39"/>
      <c r="CN54" s="39"/>
      <c r="CO54" s="39"/>
      <c r="CP54" s="39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</row>
    <row r="55" spans="1:122" ht="29.25" customHeight="1">
      <c r="A55" s="34"/>
      <c r="B55" s="125" t="str">
        <f>IF('QFD First House'!$AX$42 ="","",'QFD First House'!$AX$42)</f>
        <v/>
      </c>
      <c r="C55" s="126"/>
      <c r="D55" s="46"/>
      <c r="E55" s="34"/>
      <c r="F55" s="63"/>
      <c r="G55" s="65"/>
      <c r="H55" s="65"/>
      <c r="I55" s="66"/>
      <c r="J55" s="63"/>
      <c r="K55" s="65"/>
      <c r="L55" s="65"/>
      <c r="M55" s="66"/>
      <c r="N55" s="63"/>
      <c r="O55" s="65"/>
      <c r="P55" s="65"/>
      <c r="Q55" s="66"/>
      <c r="R55" s="63"/>
      <c r="S55" s="65"/>
      <c r="T55" s="65"/>
      <c r="U55" s="66"/>
      <c r="V55" s="63"/>
      <c r="W55" s="65"/>
      <c r="X55" s="65"/>
      <c r="Y55" s="66"/>
      <c r="Z55" s="63"/>
      <c r="AA55" s="65"/>
      <c r="AB55" s="65"/>
      <c r="AC55" s="66"/>
      <c r="AD55" s="63"/>
      <c r="AE55" s="65"/>
      <c r="AF55" s="65"/>
      <c r="AG55" s="66"/>
      <c r="AH55" s="63"/>
      <c r="AI55" s="65"/>
      <c r="AJ55" s="65"/>
      <c r="AK55" s="66"/>
      <c r="AL55" s="63"/>
      <c r="AM55" s="65"/>
      <c r="AN55" s="65"/>
      <c r="AO55" s="66"/>
      <c r="AP55" s="63"/>
      <c r="AQ55" s="65"/>
      <c r="AR55" s="65"/>
      <c r="AS55" s="66"/>
      <c r="AT55" s="63"/>
      <c r="AU55" s="65"/>
      <c r="AV55" s="65"/>
      <c r="AW55" s="66"/>
      <c r="AX55" s="63"/>
      <c r="AY55" s="65"/>
      <c r="AZ55" s="65"/>
      <c r="BA55" s="66"/>
      <c r="BB55" s="63"/>
      <c r="BC55" s="65"/>
      <c r="BD55" s="65"/>
      <c r="BE55" s="66"/>
      <c r="BF55" s="63"/>
      <c r="BG55" s="65"/>
      <c r="BH55" s="65"/>
      <c r="BI55" s="66"/>
      <c r="BJ55" s="63"/>
      <c r="BK55" s="65"/>
      <c r="BL55" s="65"/>
      <c r="BM55" s="66"/>
      <c r="BN55" s="63"/>
      <c r="BO55" s="65"/>
      <c r="BP55" s="65"/>
      <c r="BQ55" s="66"/>
      <c r="BR55" s="63"/>
      <c r="BS55" s="65"/>
      <c r="BT55" s="65"/>
      <c r="BU55" s="66"/>
      <c r="BV55" s="63"/>
      <c r="BW55" s="65"/>
      <c r="BX55" s="65"/>
      <c r="BY55" s="66"/>
      <c r="BZ55" s="63"/>
      <c r="CA55" s="65"/>
      <c r="CB55" s="65"/>
      <c r="CC55" s="66"/>
      <c r="CD55" s="63"/>
      <c r="CE55" s="65"/>
      <c r="CF55" s="65"/>
      <c r="CG55" s="66"/>
      <c r="CH55" s="34"/>
      <c r="CI55" s="39">
        <f>'QFD First House'!$AX$66:$AX$66</f>
        <v>1</v>
      </c>
      <c r="CJ55" s="39">
        <f>IF(CI55&lt;=(MAX(CI$44:CI55)-MIN(CI$44:CI55))*0.2, 5,IF( CI$44&lt;=(MAX(CI$44:CI55)-MIN(CI$44:CI55))*0.4, 4,IF( CI55&lt;=(MAX(CI$44:CI55)-MIN(CI$44:CI55))*0.6, 3,IF(CI55&lt;=(MAX(CI$44:CI55)-MIN(CI$44:CI55))*0.8,2,1))))</f>
        <v>1</v>
      </c>
      <c r="CK55" s="42"/>
      <c r="CL55" s="39"/>
      <c r="CM55" s="39"/>
      <c r="CN55" s="39"/>
      <c r="CO55" s="39"/>
      <c r="CP55" s="39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</row>
    <row r="56" spans="1:122" ht="29.25" customHeight="1">
      <c r="A56" s="34"/>
      <c r="B56" s="125" t="str">
        <f>IF('QFD First House'!$BB$42 ="","",'QFD First House'!$BB$42)</f>
        <v/>
      </c>
      <c r="C56" s="126"/>
      <c r="D56" s="46"/>
      <c r="E56" s="34"/>
      <c r="F56" s="63"/>
      <c r="G56" s="65"/>
      <c r="H56" s="65"/>
      <c r="I56" s="66"/>
      <c r="J56" s="63"/>
      <c r="K56" s="65"/>
      <c r="L56" s="65"/>
      <c r="M56" s="66"/>
      <c r="N56" s="63"/>
      <c r="O56" s="65"/>
      <c r="P56" s="65"/>
      <c r="Q56" s="66"/>
      <c r="R56" s="63"/>
      <c r="S56" s="65"/>
      <c r="T56" s="65"/>
      <c r="U56" s="66"/>
      <c r="V56" s="63"/>
      <c r="W56" s="65"/>
      <c r="X56" s="65"/>
      <c r="Y56" s="66"/>
      <c r="Z56" s="63"/>
      <c r="AA56" s="65"/>
      <c r="AB56" s="65"/>
      <c r="AC56" s="66"/>
      <c r="AD56" s="63"/>
      <c r="AE56" s="65"/>
      <c r="AF56" s="65"/>
      <c r="AG56" s="66"/>
      <c r="AH56" s="63"/>
      <c r="AI56" s="65"/>
      <c r="AJ56" s="65"/>
      <c r="AK56" s="66"/>
      <c r="AL56" s="63"/>
      <c r="AM56" s="65"/>
      <c r="AN56" s="65"/>
      <c r="AO56" s="66"/>
      <c r="AP56" s="63"/>
      <c r="AQ56" s="65"/>
      <c r="AR56" s="65"/>
      <c r="AS56" s="66"/>
      <c r="AT56" s="63"/>
      <c r="AU56" s="65"/>
      <c r="AV56" s="65"/>
      <c r="AW56" s="66"/>
      <c r="AX56" s="63"/>
      <c r="AY56" s="65"/>
      <c r="AZ56" s="65"/>
      <c r="BA56" s="66"/>
      <c r="BB56" s="63"/>
      <c r="BC56" s="65"/>
      <c r="BD56" s="65"/>
      <c r="BE56" s="66"/>
      <c r="BF56" s="63"/>
      <c r="BG56" s="65"/>
      <c r="BH56" s="65"/>
      <c r="BI56" s="66"/>
      <c r="BJ56" s="63"/>
      <c r="BK56" s="65"/>
      <c r="BL56" s="65"/>
      <c r="BM56" s="66"/>
      <c r="BN56" s="63"/>
      <c r="BO56" s="65"/>
      <c r="BP56" s="65"/>
      <c r="BQ56" s="66"/>
      <c r="BR56" s="63"/>
      <c r="BS56" s="65"/>
      <c r="BT56" s="65"/>
      <c r="BU56" s="66"/>
      <c r="BV56" s="63"/>
      <c r="BW56" s="65"/>
      <c r="BX56" s="65"/>
      <c r="BY56" s="66"/>
      <c r="BZ56" s="63"/>
      <c r="CA56" s="65"/>
      <c r="CB56" s="65"/>
      <c r="CC56" s="66"/>
      <c r="CD56" s="63"/>
      <c r="CE56" s="65"/>
      <c r="CF56" s="65"/>
      <c r="CG56" s="66"/>
      <c r="CH56" s="34"/>
      <c r="CI56" s="39">
        <f>'QFD First House'!$BB$66:$BB$66</f>
        <v>1</v>
      </c>
      <c r="CJ56" s="39">
        <f>IF(CI56&lt;=(MAX(CI$44:CI56)-MIN(CI$44:CI56))*0.2, 5,IF( CI$44&lt;=(MAX(CI$44:CI56)-MIN(CI$44:CI56))*0.4, 4,IF( CI56&lt;=(MAX(CI$44:CI56)-MIN(CI$44:CI56))*0.6, 3,IF(CI56&lt;=(MAX(CI$44:CI56)-MIN(CI$44:CI56))*0.8,2,1))))</f>
        <v>1</v>
      </c>
      <c r="CK56" s="42"/>
      <c r="CL56" s="39"/>
      <c r="CM56" s="39"/>
      <c r="CN56" s="39"/>
      <c r="CO56" s="39"/>
      <c r="CP56" s="39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</row>
    <row r="57" spans="1:122" ht="29.25" customHeight="1">
      <c r="A57" s="34"/>
      <c r="B57" s="125" t="str">
        <f>IF('QFD First House'!$BF$42 ="","",'QFD First House'!$BF$42)</f>
        <v/>
      </c>
      <c r="C57" s="126"/>
      <c r="D57" s="46"/>
      <c r="E57" s="34"/>
      <c r="F57" s="63"/>
      <c r="G57" s="65"/>
      <c r="H57" s="65"/>
      <c r="I57" s="66"/>
      <c r="J57" s="63"/>
      <c r="K57" s="65"/>
      <c r="L57" s="65"/>
      <c r="M57" s="66"/>
      <c r="N57" s="63"/>
      <c r="O57" s="65"/>
      <c r="P57" s="65"/>
      <c r="Q57" s="66"/>
      <c r="R57" s="63"/>
      <c r="S57" s="65"/>
      <c r="T57" s="65"/>
      <c r="U57" s="66"/>
      <c r="V57" s="63"/>
      <c r="W57" s="65"/>
      <c r="X57" s="65"/>
      <c r="Y57" s="66"/>
      <c r="Z57" s="63"/>
      <c r="AA57" s="65"/>
      <c r="AB57" s="65"/>
      <c r="AC57" s="66"/>
      <c r="AD57" s="63"/>
      <c r="AE57" s="65"/>
      <c r="AF57" s="65"/>
      <c r="AG57" s="66"/>
      <c r="AH57" s="63"/>
      <c r="AI57" s="65"/>
      <c r="AJ57" s="65"/>
      <c r="AK57" s="66"/>
      <c r="AL57" s="63"/>
      <c r="AM57" s="65"/>
      <c r="AN57" s="65"/>
      <c r="AO57" s="66"/>
      <c r="AP57" s="63"/>
      <c r="AQ57" s="65"/>
      <c r="AR57" s="65"/>
      <c r="AS57" s="66"/>
      <c r="AT57" s="63"/>
      <c r="AU57" s="65"/>
      <c r="AV57" s="65"/>
      <c r="AW57" s="66"/>
      <c r="AX57" s="63"/>
      <c r="AY57" s="65"/>
      <c r="AZ57" s="65"/>
      <c r="BA57" s="66"/>
      <c r="BB57" s="63"/>
      <c r="BC57" s="65"/>
      <c r="BD57" s="65"/>
      <c r="BE57" s="66"/>
      <c r="BF57" s="63"/>
      <c r="BG57" s="65"/>
      <c r="BH57" s="65"/>
      <c r="BI57" s="66"/>
      <c r="BJ57" s="63"/>
      <c r="BK57" s="65"/>
      <c r="BL57" s="65"/>
      <c r="BM57" s="66"/>
      <c r="BN57" s="63"/>
      <c r="BO57" s="65"/>
      <c r="BP57" s="65"/>
      <c r="BQ57" s="66"/>
      <c r="BR57" s="63"/>
      <c r="BS57" s="65"/>
      <c r="BT57" s="65"/>
      <c r="BU57" s="66"/>
      <c r="BV57" s="63"/>
      <c r="BW57" s="65"/>
      <c r="BX57" s="65"/>
      <c r="BY57" s="66"/>
      <c r="BZ57" s="63"/>
      <c r="CA57" s="65"/>
      <c r="CB57" s="65"/>
      <c r="CC57" s="66"/>
      <c r="CD57" s="63"/>
      <c r="CE57" s="65"/>
      <c r="CF57" s="65"/>
      <c r="CG57" s="66"/>
      <c r="CH57" s="34"/>
      <c r="CI57" s="39">
        <f>'QFD First House'!$BF$66:$BF$66</f>
        <v>1</v>
      </c>
      <c r="CJ57" s="39">
        <f>IF(CI57&lt;=(MAX(CI$44:CI57)-MIN(CI$44:CI57))*0.2, 5,IF( CI$44&lt;=(MAX(CI$44:CI57)-MIN(CI$44:CI57))*0.4, 4,IF( CI57&lt;=(MAX(CI$44:CI57)-MIN(CI$44:CI57))*0.6, 3,IF(CI57&lt;=(MAX(CI$44:CI57)-MIN(CI$44:CI57))*0.8,2,1))))</f>
        <v>1</v>
      </c>
      <c r="CK57" s="42"/>
      <c r="CL57" s="39"/>
      <c r="CM57" s="39"/>
      <c r="CN57" s="39"/>
      <c r="CO57" s="39"/>
      <c r="CP57" s="39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</row>
    <row r="58" spans="1:122" ht="29.25" customHeight="1">
      <c r="A58" s="34"/>
      <c r="B58" s="125" t="str">
        <f>IF('QFD First House'!$BJ$42 ="","",'QFD First House'!$BJ$42)</f>
        <v/>
      </c>
      <c r="C58" s="126"/>
      <c r="D58" s="46"/>
      <c r="E58" s="34"/>
      <c r="F58" s="63"/>
      <c r="G58" s="65"/>
      <c r="H58" s="65"/>
      <c r="I58" s="66"/>
      <c r="J58" s="63"/>
      <c r="K58" s="65"/>
      <c r="L58" s="65"/>
      <c r="M58" s="66"/>
      <c r="N58" s="63"/>
      <c r="O58" s="65"/>
      <c r="P58" s="65"/>
      <c r="Q58" s="66"/>
      <c r="R58" s="63"/>
      <c r="S58" s="65"/>
      <c r="T58" s="65"/>
      <c r="U58" s="66"/>
      <c r="V58" s="63"/>
      <c r="W58" s="65"/>
      <c r="X58" s="65"/>
      <c r="Y58" s="66"/>
      <c r="Z58" s="63"/>
      <c r="AA58" s="65"/>
      <c r="AB58" s="65"/>
      <c r="AC58" s="66"/>
      <c r="AD58" s="63"/>
      <c r="AE58" s="65"/>
      <c r="AF58" s="65"/>
      <c r="AG58" s="66"/>
      <c r="AH58" s="63"/>
      <c r="AI58" s="65"/>
      <c r="AJ58" s="65"/>
      <c r="AK58" s="66"/>
      <c r="AL58" s="63"/>
      <c r="AM58" s="65"/>
      <c r="AN58" s="65"/>
      <c r="AO58" s="66"/>
      <c r="AP58" s="63"/>
      <c r="AQ58" s="65"/>
      <c r="AR58" s="65"/>
      <c r="AS58" s="66"/>
      <c r="AT58" s="63"/>
      <c r="AU58" s="65"/>
      <c r="AV58" s="65"/>
      <c r="AW58" s="66"/>
      <c r="AX58" s="63"/>
      <c r="AY58" s="65"/>
      <c r="AZ58" s="65"/>
      <c r="BA58" s="66"/>
      <c r="BB58" s="63"/>
      <c r="BC58" s="65"/>
      <c r="BD58" s="65"/>
      <c r="BE58" s="66"/>
      <c r="BF58" s="63"/>
      <c r="BG58" s="65"/>
      <c r="BH58" s="65"/>
      <c r="BI58" s="66"/>
      <c r="BJ58" s="63"/>
      <c r="BK58" s="65"/>
      <c r="BL58" s="65"/>
      <c r="BM58" s="66"/>
      <c r="BN58" s="63"/>
      <c r="BO58" s="65"/>
      <c r="BP58" s="65"/>
      <c r="BQ58" s="66"/>
      <c r="BR58" s="63"/>
      <c r="BS58" s="65"/>
      <c r="BT58" s="65"/>
      <c r="BU58" s="66"/>
      <c r="BV58" s="63"/>
      <c r="BW58" s="65"/>
      <c r="BX58" s="65"/>
      <c r="BY58" s="66"/>
      <c r="BZ58" s="63"/>
      <c r="CA58" s="65"/>
      <c r="CB58" s="65"/>
      <c r="CC58" s="66"/>
      <c r="CD58" s="63"/>
      <c r="CE58" s="65"/>
      <c r="CF58" s="65"/>
      <c r="CG58" s="66"/>
      <c r="CH58" s="34"/>
      <c r="CI58" s="39">
        <f>'QFD First House'!$BJ$66:$BJ$66</f>
        <v>1</v>
      </c>
      <c r="CJ58" s="39">
        <f>IF(CI58&lt;=(MAX(CI$44:CI58)-MIN(CI$44:CI58))*0.2, 5,IF( CI$44&lt;=(MAX(CI$44:CI58)-MIN(CI$44:CI58))*0.4, 4,IF( CI58&lt;=(MAX(CI$44:CI58)-MIN(CI$44:CI58))*0.6, 3,IF(CI58&lt;=(MAX(CI$44:CI58)-MIN(CI$44:CI58))*0.8,2,1))))</f>
        <v>1</v>
      </c>
      <c r="CK58" s="42"/>
      <c r="CL58" s="39"/>
      <c r="CM58" s="39"/>
      <c r="CN58" s="39"/>
      <c r="CO58" s="39"/>
      <c r="CP58" s="39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</row>
    <row r="59" spans="1:122" ht="29.25" customHeight="1">
      <c r="A59" s="34"/>
      <c r="B59" s="125" t="str">
        <f>IF('QFD First House'!$BN$42 ="","",'QFD First House'!$BN$42)</f>
        <v/>
      </c>
      <c r="C59" s="126"/>
      <c r="D59" s="46"/>
      <c r="E59" s="34"/>
      <c r="F59" s="63"/>
      <c r="G59" s="65"/>
      <c r="H59" s="65"/>
      <c r="I59" s="66"/>
      <c r="J59" s="63"/>
      <c r="K59" s="65"/>
      <c r="L59" s="65"/>
      <c r="M59" s="66"/>
      <c r="N59" s="63"/>
      <c r="O59" s="65"/>
      <c r="P59" s="65"/>
      <c r="Q59" s="66"/>
      <c r="R59" s="63"/>
      <c r="S59" s="65"/>
      <c r="T59" s="65"/>
      <c r="U59" s="66"/>
      <c r="V59" s="63"/>
      <c r="W59" s="65"/>
      <c r="X59" s="65"/>
      <c r="Y59" s="66"/>
      <c r="Z59" s="63"/>
      <c r="AA59" s="65"/>
      <c r="AB59" s="65"/>
      <c r="AC59" s="66"/>
      <c r="AD59" s="63"/>
      <c r="AE59" s="65"/>
      <c r="AF59" s="65"/>
      <c r="AG59" s="66"/>
      <c r="AH59" s="63"/>
      <c r="AI59" s="65"/>
      <c r="AJ59" s="65"/>
      <c r="AK59" s="66"/>
      <c r="AL59" s="63"/>
      <c r="AM59" s="65"/>
      <c r="AN59" s="65"/>
      <c r="AO59" s="66"/>
      <c r="AP59" s="63"/>
      <c r="AQ59" s="65"/>
      <c r="AR59" s="65"/>
      <c r="AS59" s="66"/>
      <c r="AT59" s="63"/>
      <c r="AU59" s="65"/>
      <c r="AV59" s="65"/>
      <c r="AW59" s="66"/>
      <c r="AX59" s="63"/>
      <c r="AY59" s="65"/>
      <c r="AZ59" s="65"/>
      <c r="BA59" s="66"/>
      <c r="BB59" s="63"/>
      <c r="BC59" s="65"/>
      <c r="BD59" s="65"/>
      <c r="BE59" s="66"/>
      <c r="BF59" s="63"/>
      <c r="BG59" s="65"/>
      <c r="BH59" s="65"/>
      <c r="BI59" s="66"/>
      <c r="BJ59" s="63"/>
      <c r="BK59" s="65"/>
      <c r="BL59" s="65"/>
      <c r="BM59" s="66"/>
      <c r="BN59" s="63"/>
      <c r="BO59" s="65"/>
      <c r="BP59" s="65"/>
      <c r="BQ59" s="66"/>
      <c r="BR59" s="63"/>
      <c r="BS59" s="65"/>
      <c r="BT59" s="65"/>
      <c r="BU59" s="66"/>
      <c r="BV59" s="63"/>
      <c r="BW59" s="65"/>
      <c r="BX59" s="65"/>
      <c r="BY59" s="66"/>
      <c r="BZ59" s="63"/>
      <c r="CA59" s="65"/>
      <c r="CB59" s="65"/>
      <c r="CC59" s="66"/>
      <c r="CD59" s="63"/>
      <c r="CE59" s="65"/>
      <c r="CF59" s="65"/>
      <c r="CG59" s="66"/>
      <c r="CH59" s="34"/>
      <c r="CI59" s="39">
        <f>'QFD First House'!$BN$66:$BN$66</f>
        <v>1</v>
      </c>
      <c r="CJ59" s="39">
        <f>IF(CI59&lt;=(MAX(CI$44:CI59)-MIN(CI$44:CI59))*0.2, 5,IF( CI$44&lt;=(MAX(CI$44:CI59)-MIN(CI$44:CI59))*0.4, 4,IF( CI59&lt;=(MAX(CI$44:CI59)-MIN(CI$44:CI59))*0.6, 3,IF(CI59&lt;=(MAX(CI$44:CI59)-MIN(CI$44:CI59))*0.8,2,1))))</f>
        <v>1</v>
      </c>
      <c r="CK59" s="42"/>
      <c r="CL59" s="39"/>
      <c r="CM59" s="39"/>
      <c r="CN59" s="39"/>
      <c r="CO59" s="39"/>
      <c r="CP59" s="39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</row>
    <row r="60" spans="1:122" ht="29.25" customHeight="1">
      <c r="A60" s="34"/>
      <c r="B60" s="125" t="str">
        <f>IF('QFD First House'!$BR$42 ="","",'QFD First House'!$BR$42)</f>
        <v/>
      </c>
      <c r="C60" s="126"/>
      <c r="D60" s="46"/>
      <c r="E60" s="34"/>
      <c r="F60" s="63"/>
      <c r="G60" s="65"/>
      <c r="H60" s="65"/>
      <c r="I60" s="66"/>
      <c r="J60" s="63"/>
      <c r="K60" s="65"/>
      <c r="L60" s="65"/>
      <c r="M60" s="66"/>
      <c r="N60" s="63"/>
      <c r="O60" s="65"/>
      <c r="P60" s="65"/>
      <c r="Q60" s="66"/>
      <c r="R60" s="63"/>
      <c r="S60" s="65"/>
      <c r="T60" s="65"/>
      <c r="U60" s="66"/>
      <c r="V60" s="63"/>
      <c r="W60" s="65"/>
      <c r="X60" s="65"/>
      <c r="Y60" s="66"/>
      <c r="Z60" s="63"/>
      <c r="AA60" s="65"/>
      <c r="AB60" s="65"/>
      <c r="AC60" s="66"/>
      <c r="AD60" s="63"/>
      <c r="AE60" s="65"/>
      <c r="AF60" s="65"/>
      <c r="AG60" s="66"/>
      <c r="AH60" s="63"/>
      <c r="AI60" s="65"/>
      <c r="AJ60" s="65"/>
      <c r="AK60" s="66"/>
      <c r="AL60" s="63"/>
      <c r="AM60" s="65"/>
      <c r="AN60" s="65"/>
      <c r="AO60" s="66"/>
      <c r="AP60" s="63"/>
      <c r="AQ60" s="65"/>
      <c r="AR60" s="65"/>
      <c r="AS60" s="66"/>
      <c r="AT60" s="63"/>
      <c r="AU60" s="65"/>
      <c r="AV60" s="65"/>
      <c r="AW60" s="66"/>
      <c r="AX60" s="63"/>
      <c r="AY60" s="65"/>
      <c r="AZ60" s="65"/>
      <c r="BA60" s="66"/>
      <c r="BB60" s="63"/>
      <c r="BC60" s="65"/>
      <c r="BD60" s="65"/>
      <c r="BE60" s="66"/>
      <c r="BF60" s="63"/>
      <c r="BG60" s="65"/>
      <c r="BH60" s="65"/>
      <c r="BI60" s="66"/>
      <c r="BJ60" s="63"/>
      <c r="BK60" s="65"/>
      <c r="BL60" s="65"/>
      <c r="BM60" s="66"/>
      <c r="BN60" s="63"/>
      <c r="BO60" s="65"/>
      <c r="BP60" s="65"/>
      <c r="BQ60" s="66"/>
      <c r="BR60" s="63"/>
      <c r="BS60" s="65"/>
      <c r="BT60" s="65"/>
      <c r="BU60" s="66"/>
      <c r="BV60" s="63"/>
      <c r="BW60" s="65"/>
      <c r="BX60" s="65"/>
      <c r="BY60" s="66"/>
      <c r="BZ60" s="63"/>
      <c r="CA60" s="65"/>
      <c r="CB60" s="65"/>
      <c r="CC60" s="66"/>
      <c r="CD60" s="63"/>
      <c r="CE60" s="65"/>
      <c r="CF60" s="65"/>
      <c r="CG60" s="66"/>
      <c r="CH60" s="34"/>
      <c r="CI60" s="39">
        <f>'QFD First House'!$BR$66:$BR$66</f>
        <v>1</v>
      </c>
      <c r="CJ60" s="39">
        <f>IF(CI60&lt;=(MAX(CI$44:CI60)-MIN(CI$44:CI60))*0.2, 5,IF( CI$44&lt;=(MAX(CI$44:CI60)-MIN(CI$44:CI60))*0.4, 4,IF( CI60&lt;=(MAX(CI$44:CI60)-MIN(CI$44:CI60))*0.6, 3,IF(CI60&lt;=(MAX(CI$44:CI60)-MIN(CI$44:CI60))*0.8,2,1))))</f>
        <v>1</v>
      </c>
      <c r="CK60" s="42"/>
      <c r="CL60" s="39"/>
      <c r="CM60" s="39"/>
      <c r="CN60" s="39"/>
      <c r="CO60" s="39"/>
      <c r="CP60" s="39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</row>
    <row r="61" spans="1:122" ht="29.25" customHeight="1">
      <c r="A61" s="34"/>
      <c r="B61" s="125" t="str">
        <f>IF('QFD First House'!$BV$42 ="","",'QFD First House'!$BV$42)</f>
        <v/>
      </c>
      <c r="C61" s="126"/>
      <c r="D61" s="46"/>
      <c r="E61" s="34"/>
      <c r="F61" s="63"/>
      <c r="G61" s="65"/>
      <c r="H61" s="65"/>
      <c r="I61" s="66"/>
      <c r="J61" s="63"/>
      <c r="K61" s="65"/>
      <c r="L61" s="65"/>
      <c r="M61" s="66"/>
      <c r="N61" s="63"/>
      <c r="O61" s="65"/>
      <c r="P61" s="65"/>
      <c r="Q61" s="66"/>
      <c r="R61" s="63"/>
      <c r="S61" s="65"/>
      <c r="T61" s="65"/>
      <c r="U61" s="66"/>
      <c r="V61" s="63"/>
      <c r="W61" s="65"/>
      <c r="X61" s="65"/>
      <c r="Y61" s="66"/>
      <c r="Z61" s="63"/>
      <c r="AA61" s="65"/>
      <c r="AB61" s="65"/>
      <c r="AC61" s="66"/>
      <c r="AD61" s="63"/>
      <c r="AE61" s="65"/>
      <c r="AF61" s="65"/>
      <c r="AG61" s="66"/>
      <c r="AH61" s="63"/>
      <c r="AI61" s="65"/>
      <c r="AJ61" s="65"/>
      <c r="AK61" s="66"/>
      <c r="AL61" s="63"/>
      <c r="AM61" s="65"/>
      <c r="AN61" s="65"/>
      <c r="AO61" s="66"/>
      <c r="AP61" s="63"/>
      <c r="AQ61" s="65"/>
      <c r="AR61" s="65"/>
      <c r="AS61" s="66"/>
      <c r="AT61" s="63"/>
      <c r="AU61" s="65"/>
      <c r="AV61" s="65"/>
      <c r="AW61" s="66"/>
      <c r="AX61" s="63"/>
      <c r="AY61" s="65"/>
      <c r="AZ61" s="65"/>
      <c r="BA61" s="66"/>
      <c r="BB61" s="63"/>
      <c r="BC61" s="65"/>
      <c r="BD61" s="65"/>
      <c r="BE61" s="66"/>
      <c r="BF61" s="63"/>
      <c r="BG61" s="65"/>
      <c r="BH61" s="65"/>
      <c r="BI61" s="66"/>
      <c r="BJ61" s="63"/>
      <c r="BK61" s="65"/>
      <c r="BL61" s="65"/>
      <c r="BM61" s="66"/>
      <c r="BN61" s="63"/>
      <c r="BO61" s="65"/>
      <c r="BP61" s="65"/>
      <c r="BQ61" s="66"/>
      <c r="BR61" s="63"/>
      <c r="BS61" s="65"/>
      <c r="BT61" s="65"/>
      <c r="BU61" s="66"/>
      <c r="BV61" s="63"/>
      <c r="BW61" s="65"/>
      <c r="BX61" s="65"/>
      <c r="BY61" s="66"/>
      <c r="BZ61" s="63"/>
      <c r="CA61" s="65"/>
      <c r="CB61" s="65"/>
      <c r="CC61" s="66"/>
      <c r="CD61" s="63"/>
      <c r="CE61" s="65"/>
      <c r="CF61" s="65"/>
      <c r="CG61" s="66"/>
      <c r="CH61" s="34"/>
      <c r="CI61" s="39">
        <f>'QFD First House'!$BV$66:$BV$66</f>
        <v>1</v>
      </c>
      <c r="CJ61" s="39">
        <f>IF(CI61&lt;=(MAX(CI$44:CI61)-MIN(CI$44:CI61))*0.2, 5,IF( CI$44&lt;=(MAX(CI$44:CI61)-MIN(CI$44:CI61))*0.4, 4,IF( CI61&lt;=(MAX(CI$44:CI61)-MIN(CI$44:CI61))*0.6, 3,IF(CI61&lt;=(MAX(CI$44:CI61)-MIN(CI$44:CI61))*0.8,2,1))))</f>
        <v>1</v>
      </c>
      <c r="CK61" s="42"/>
      <c r="CL61" s="39"/>
      <c r="CM61" s="39"/>
      <c r="CN61" s="39"/>
      <c r="CO61" s="39"/>
      <c r="CP61" s="39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</row>
    <row r="62" spans="1:122" ht="29.25" customHeight="1">
      <c r="A62" s="34"/>
      <c r="B62" s="125" t="str">
        <f>IF('QFD First House'!$BZ$42 ="","",'QFD First House'!$BZ$42)</f>
        <v/>
      </c>
      <c r="C62" s="126"/>
      <c r="D62" s="46"/>
      <c r="E62" s="34"/>
      <c r="F62" s="63"/>
      <c r="G62" s="65"/>
      <c r="H62" s="65"/>
      <c r="I62" s="66"/>
      <c r="J62" s="63"/>
      <c r="K62" s="65"/>
      <c r="L62" s="65"/>
      <c r="M62" s="66"/>
      <c r="N62" s="63"/>
      <c r="O62" s="65"/>
      <c r="P62" s="65"/>
      <c r="Q62" s="66"/>
      <c r="R62" s="63"/>
      <c r="S62" s="65"/>
      <c r="T62" s="65"/>
      <c r="U62" s="66"/>
      <c r="V62" s="63"/>
      <c r="W62" s="65"/>
      <c r="X62" s="65"/>
      <c r="Y62" s="66"/>
      <c r="Z62" s="63"/>
      <c r="AA62" s="65"/>
      <c r="AB62" s="65"/>
      <c r="AC62" s="66"/>
      <c r="AD62" s="63"/>
      <c r="AE62" s="65"/>
      <c r="AF62" s="65"/>
      <c r="AG62" s="66"/>
      <c r="AH62" s="63"/>
      <c r="AI62" s="65"/>
      <c r="AJ62" s="65"/>
      <c r="AK62" s="66"/>
      <c r="AL62" s="63"/>
      <c r="AM62" s="65"/>
      <c r="AN62" s="65"/>
      <c r="AO62" s="66"/>
      <c r="AP62" s="63"/>
      <c r="AQ62" s="65"/>
      <c r="AR62" s="65"/>
      <c r="AS62" s="66"/>
      <c r="AT62" s="63"/>
      <c r="AU62" s="65"/>
      <c r="AV62" s="65"/>
      <c r="AW62" s="66"/>
      <c r="AX62" s="63"/>
      <c r="AY62" s="65"/>
      <c r="AZ62" s="65"/>
      <c r="BA62" s="66"/>
      <c r="BB62" s="63"/>
      <c r="BC62" s="65"/>
      <c r="BD62" s="65"/>
      <c r="BE62" s="66"/>
      <c r="BF62" s="63"/>
      <c r="BG62" s="65"/>
      <c r="BH62" s="65"/>
      <c r="BI62" s="66"/>
      <c r="BJ62" s="63"/>
      <c r="BK62" s="65"/>
      <c r="BL62" s="65"/>
      <c r="BM62" s="66"/>
      <c r="BN62" s="63"/>
      <c r="BO62" s="65"/>
      <c r="BP62" s="65"/>
      <c r="BQ62" s="66"/>
      <c r="BR62" s="63"/>
      <c r="BS62" s="65"/>
      <c r="BT62" s="65"/>
      <c r="BU62" s="66"/>
      <c r="BV62" s="63"/>
      <c r="BW62" s="65"/>
      <c r="BX62" s="65"/>
      <c r="BY62" s="66"/>
      <c r="BZ62" s="63"/>
      <c r="CA62" s="65"/>
      <c r="CB62" s="65"/>
      <c r="CC62" s="66"/>
      <c r="CD62" s="63"/>
      <c r="CE62" s="65"/>
      <c r="CF62" s="65"/>
      <c r="CG62" s="66"/>
      <c r="CH62" s="34"/>
      <c r="CI62" s="39">
        <f>'QFD First House'!$BZ$66:$BZ$66</f>
        <v>1</v>
      </c>
      <c r="CJ62" s="39">
        <f>IF(CI62&lt;=(MAX(CI$44:CI62)-MIN(CI$44:CI62))*0.2, 5,IF( CI$44&lt;=(MAX(CI$44:CI62)-MIN(CI$44:CI62))*0.4, 4,IF( CI62&lt;=(MAX(CI$44:CI62)-MIN(CI$44:CI62))*0.6, 3,IF(CI62&lt;=(MAX(CI$44:CI62)-MIN(CI$44:CI62))*0.8,2,1))))</f>
        <v>1</v>
      </c>
      <c r="CK62" s="42"/>
      <c r="CL62" s="39"/>
      <c r="CM62" s="39"/>
      <c r="CN62" s="39"/>
      <c r="CO62" s="39"/>
      <c r="CP62" s="39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</row>
    <row r="63" spans="1:122" ht="29.25" customHeight="1">
      <c r="A63" s="34"/>
      <c r="B63" s="125" t="str">
        <f>IF('QFD First House'!$CD$42 ="","",'QFD First House'!$CD$42)</f>
        <v/>
      </c>
      <c r="C63" s="126"/>
      <c r="D63" s="46"/>
      <c r="E63" s="34"/>
      <c r="F63" s="63"/>
      <c r="G63" s="65"/>
      <c r="H63" s="65"/>
      <c r="I63" s="66"/>
      <c r="J63" s="63"/>
      <c r="K63" s="65"/>
      <c r="L63" s="65"/>
      <c r="M63" s="66"/>
      <c r="N63" s="63"/>
      <c r="O63" s="65"/>
      <c r="P63" s="65"/>
      <c r="Q63" s="66"/>
      <c r="R63" s="63"/>
      <c r="S63" s="65"/>
      <c r="T63" s="65"/>
      <c r="U63" s="66"/>
      <c r="V63" s="63"/>
      <c r="W63" s="65"/>
      <c r="X63" s="65"/>
      <c r="Y63" s="66"/>
      <c r="Z63" s="63"/>
      <c r="AA63" s="65"/>
      <c r="AB63" s="65"/>
      <c r="AC63" s="66"/>
      <c r="AD63" s="63"/>
      <c r="AE63" s="65"/>
      <c r="AF63" s="65"/>
      <c r="AG63" s="66"/>
      <c r="AH63" s="63"/>
      <c r="AI63" s="65"/>
      <c r="AJ63" s="65"/>
      <c r="AK63" s="66"/>
      <c r="AL63" s="63"/>
      <c r="AM63" s="65"/>
      <c r="AN63" s="65"/>
      <c r="AO63" s="66"/>
      <c r="AP63" s="63"/>
      <c r="AQ63" s="65"/>
      <c r="AR63" s="65"/>
      <c r="AS63" s="66"/>
      <c r="AT63" s="63"/>
      <c r="AU63" s="65"/>
      <c r="AV63" s="65"/>
      <c r="AW63" s="66"/>
      <c r="AX63" s="63"/>
      <c r="AY63" s="65"/>
      <c r="AZ63" s="65"/>
      <c r="BA63" s="66"/>
      <c r="BB63" s="63"/>
      <c r="BC63" s="65"/>
      <c r="BD63" s="65"/>
      <c r="BE63" s="66"/>
      <c r="BF63" s="63"/>
      <c r="BG63" s="65"/>
      <c r="BH63" s="65"/>
      <c r="BI63" s="66"/>
      <c r="BJ63" s="63"/>
      <c r="BK63" s="65"/>
      <c r="BL63" s="65"/>
      <c r="BM63" s="66"/>
      <c r="BN63" s="63"/>
      <c r="BO63" s="65"/>
      <c r="BP63" s="65"/>
      <c r="BQ63" s="66"/>
      <c r="BR63" s="63"/>
      <c r="BS63" s="65"/>
      <c r="BT63" s="65"/>
      <c r="BU63" s="66"/>
      <c r="BV63" s="63"/>
      <c r="BW63" s="65"/>
      <c r="BX63" s="65"/>
      <c r="BY63" s="66"/>
      <c r="BZ63" s="63"/>
      <c r="CA63" s="65"/>
      <c r="CB63" s="65"/>
      <c r="CC63" s="66"/>
      <c r="CD63" s="63"/>
      <c r="CE63" s="65"/>
      <c r="CF63" s="65"/>
      <c r="CG63" s="66"/>
      <c r="CH63" s="34"/>
      <c r="CI63" s="39">
        <f>'QFD First House'!$CD$66:$CD$66</f>
        <v>1</v>
      </c>
      <c r="CJ63" s="39">
        <f>IF(CI63&lt;=(MAX(CI$44:CI63)-MIN(CI$44:CI63))*0.2, 5,IF( CI$44&lt;=(MAX(CI$44:CI63)-MIN(CI$44:CI63))*0.4, 4,IF( CI63&lt;=(MAX(CI$44:CI63)-MIN(CI$44:CI63))*0.6, 3,IF(CI63&lt;=(MAX(CI$44:CI63)-MIN(CI$44:CI63))*0.8,2,1))))</f>
        <v>1</v>
      </c>
      <c r="CK63" s="42"/>
      <c r="CL63" s="39"/>
      <c r="CM63" s="39"/>
      <c r="CN63" s="39"/>
      <c r="CO63" s="39"/>
      <c r="CP63" s="39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</row>
    <row r="64" spans="1:122" ht="15.75" customHeight="1">
      <c r="A64" s="34"/>
      <c r="B64" s="46"/>
      <c r="C64" s="46"/>
      <c r="D64" s="46"/>
      <c r="E64" s="34"/>
      <c r="F64" s="41">
        <f t="array" ref="F64">SUM(IF(List2_1="+++",9*Importance2,IF(List2_1="++",3*Importance2,IF(List2_1="+",1*Importance2,IF(List2_1="-",-1*Importance2,IF(List2_1="- -",-3*Importance2,IF(List2_1="- - -",-9*Importance2,"")))))))</f>
        <v>0</v>
      </c>
      <c r="G64" s="41"/>
      <c r="H64" s="41"/>
      <c r="I64" s="41"/>
      <c r="J64" s="41">
        <f t="array" ref="J64">SUM(IF(List2_2="+++",9*Importance2,IF(List2_2="++",3*Importance2,IF(List2_2="+",1*Importance2,IF(List2_2="-",-1*Importance2,IF(List2_2="- -",-3*Importance2,IF(List2_2="- - -",-9*Importance2,"")))))))</f>
        <v>0</v>
      </c>
      <c r="K64" s="41"/>
      <c r="L64" s="41"/>
      <c r="M64" s="41"/>
      <c r="N64" s="41">
        <f t="array" ref="N64">SUM(IF(List2_3="+++",9*Importance2,IF(List2_3="++",3*Importance2,IF(List2_3="+",1*Importance2,IF(List2_3="-",-1*Importance2,IF(List2_3="- -",-3*Importance2,IF(List2_3="- - -",-9*Importance2,"")))))))</f>
        <v>0</v>
      </c>
      <c r="O64" s="41"/>
      <c r="P64" s="41"/>
      <c r="Q64" s="41"/>
      <c r="R64" s="41">
        <f t="array" ref="R64">SUM(IF(List2_4="+++",9*Importance2,IF(List2_4="++",3*Importance2,IF(List2_4="+",1*Importance2,IF(List2_4="-",-1*Importance2,IF(List2_4="- -",-3*Importance2,IF(List2_4="- - -",-9*Importance2,"")))))))</f>
        <v>0</v>
      </c>
      <c r="S64" s="41"/>
      <c r="T64" s="41"/>
      <c r="U64" s="41"/>
      <c r="V64" s="41">
        <f t="array" ref="V64">SUM(IF(List2_5="+++",9*Importance2,IF(List2_5="++",3*Importance2,IF(List2_5="+",1*Importance2,IF(List2_5="-",-1*Importance2,IF(List2_5="- -",-3*Importance2,IF(List2_5="- - -",-9*Importance2,"")))))))</f>
        <v>0</v>
      </c>
      <c r="W64" s="41"/>
      <c r="X64" s="41"/>
      <c r="Y64" s="41"/>
      <c r="Z64" s="41">
        <f t="array" ref="Z64">SUM(IF(List2_6="+++",9*Importance2,IF(List2_6="++",3*Importance2,IF(List2_6="+",1*Importance2,IF(List2_6="-",-1*Importance2,IF(List2_6="- -",-3*Importance2,IF(List2_6="- - -",-9*Importance2,"")))))))</f>
        <v>0</v>
      </c>
      <c r="AA64" s="41"/>
      <c r="AB64" s="41"/>
      <c r="AC64" s="41"/>
      <c r="AD64" s="41">
        <f t="array" ref="AD64">SUM(IF(List2_7="+++",9*Importance2,IF(List2_7="++",3*Importance2,IF(List2_7="+",1*Importance2,IF(List2_7="-",-1*Importance2,IF(List2_7="- -",-3*Importance2,IF(List2_7="- - -",-9*Importance2,"")))))))</f>
        <v>0</v>
      </c>
      <c r="AE64" s="41"/>
      <c r="AF64" s="41"/>
      <c r="AG64" s="41"/>
      <c r="AH64" s="41">
        <f t="array" ref="AH64">SUM(IF(List2_8="+++",9*Importance2,IF(List2_8="++",3*Importance2,IF(List2_8="+",1*Importance2,IF(List2_8="-",-1*Importance2,IF(List2_8="- -",-3*Importance2,IF(List2_8="- - -",-9*Importance2,"")))))))</f>
        <v>0</v>
      </c>
      <c r="AI64" s="41"/>
      <c r="AJ64" s="41"/>
      <c r="AK64" s="41"/>
      <c r="AL64" s="41">
        <f t="array" ref="AL64">SUM(IF(List2_9="+++",9*Importance2,IF(List2_9="++",3*Importance2,IF(List2_9="+",1*Importance2,IF(List2_9="-",-1*Importance2,IF(List2_9="- -",-3*Importance2,IF(List2_9="- - -",-9*Importance2,"")))))))</f>
        <v>0</v>
      </c>
      <c r="AM64" s="41"/>
      <c r="AN64" s="41"/>
      <c r="AO64" s="41"/>
      <c r="AP64" s="41">
        <f t="array" ref="AP64">SUM(IF(List2_10="+++",9*Importance2,IF(List2_10="++",3*Importance2,IF(List2_10="+",1*Importance2,IF(List2_10="-",-1*Importance2,IF(List2_10="- -",-3*Importance2,IF(List2_10="- - -",-9*Importance2,"")))))))</f>
        <v>0</v>
      </c>
      <c r="AQ64" s="41"/>
      <c r="AR64" s="41"/>
      <c r="AS64" s="41"/>
      <c r="AT64" s="41">
        <f t="array" ref="AT64">SUM(IF(List2_11="+++",9*Importance2,IF(List2_11="++",3*Importance2,IF(List2_11="+",1*Importance2,IF(List2_11="-",-1*Importance2,IF(List2_11="- -",-3*Importance2,IF(List2_11="- - -",-9*Importance2,"")))))))</f>
        <v>0</v>
      </c>
      <c r="AU64" s="41"/>
      <c r="AV64" s="41"/>
      <c r="AW64" s="41"/>
      <c r="AX64" s="41">
        <f t="array" ref="AX64">SUM(IF(List2_12="+++",9*Importance2,IF(List2_12="++",3*Importance2,IF(List2_12="+",1*Importance2,IF(List2_12="-",-1*Importance2,IF(List2_12="- -",-3*Importance2,IF(List2_12="- - -",-9*Importance2,"")))))))</f>
        <v>0</v>
      </c>
      <c r="AY64" s="41"/>
      <c r="AZ64" s="41"/>
      <c r="BA64" s="41"/>
      <c r="BB64" s="41">
        <f t="array" ref="BB64">SUM(IF(List2_13="+++",9*Importance2,IF(List2_13="++",3*Importance2,IF(List2_13="+",1*Importance2,IF(List2_13="-",-1*Importance2,IF(List2_13="- -",-3*Importance2,IF(List2_13="- - -",-9*Importance2,"")))))))</f>
        <v>0</v>
      </c>
      <c r="BC64" s="41"/>
      <c r="BD64" s="41"/>
      <c r="BE64" s="41"/>
      <c r="BF64" s="41">
        <f t="array" ref="BF64">SUM(IF(List2_14="+++",9*Importance2,IF(List2_14="++",3*Importance2,IF(List2_14="+",1*Importance2,IF(List2_14="-",-1*Importance2,IF(List2_14="- -",-3*Importance2,IF(List2_14="- - -",-9*Importance2,"")))))))</f>
        <v>0</v>
      </c>
      <c r="BG64" s="41"/>
      <c r="BH64" s="41"/>
      <c r="BI64" s="41"/>
      <c r="BJ64" s="41">
        <f t="array" ref="BJ64">SUM(IF(List2_15="+++",9*Importance2,IF(List2_15="++",3*Importance2,IF(List2_15="+",1*Importance2,IF(List2_15="-",-1*Importance2,IF(List2_15="- -",-3*Importance2,IF(List2_15="- - -",-9*Importance2,"")))))))</f>
        <v>0</v>
      </c>
      <c r="BK64" s="41"/>
      <c r="BL64" s="41"/>
      <c r="BM64" s="41"/>
      <c r="BN64" s="41">
        <f t="array" ref="BN64">SUM(IF(List2_16="+++",9*Importance2,IF(List2_16="++",3*Importance2,IF(List2_16="+",1*Importance2,IF(List2_16="-",-1*Importance2,IF(List2_16="- -",-3*Importance2,IF(List2_16="- - -",-9*Importance2,"")))))))</f>
        <v>0</v>
      </c>
      <c r="BO64" s="41"/>
      <c r="BP64" s="41"/>
      <c r="BQ64" s="41"/>
      <c r="BR64" s="41">
        <f t="array" ref="BR64">SUM(IF(List2_17="+++",9*Importance2,IF(List2_17="++",3*Importance2,IF(List2_17="+",1*Importance2,IF(List2_17="-",-1*Importance2,IF(List2_17="- -",-3*Importance2,IF(List2_17="- - -",-9*Importance2,"")))))))</f>
        <v>0</v>
      </c>
      <c r="BS64" s="41"/>
      <c r="BT64" s="41"/>
      <c r="BU64" s="41"/>
      <c r="BV64" s="41">
        <f t="array" ref="BV64">SUM(IF(List2_18="+++",9*Importance2,IF(List2_18="++",3*Importance2,IF(List2_18="+",1*Importance2,IF(List2_18="-",-1*Importance2,IF(List2_18="- -",-3*Importance2,IF(List2_18="- - -",-9*Importance2,"")))))))</f>
        <v>0</v>
      </c>
      <c r="BW64" s="41"/>
      <c r="BX64" s="41"/>
      <c r="BY64" s="41"/>
      <c r="BZ64" s="41">
        <f t="array" ref="BZ64">SUM(IF(List2_19="+++",9*Importance2,IF(List2_19="++",3*Importance2,IF(List2_19="+",1*Importance2,IF(List2_19="-",-1*Importance2,IF(List2_19="- -",-3*Importance2,IF(List2_19="- - -",-9*Importance2,"")))))))</f>
        <v>0</v>
      </c>
      <c r="CA64" s="41"/>
      <c r="CB64" s="41"/>
      <c r="CC64" s="41"/>
      <c r="CD64" s="41">
        <f t="array" ref="CD64">SUM(IF(List2_20="+++",9*Importance2,IF(List2_20="++",3*Importance2,IF(List2_20="+",1*Importance2,IF(List2_20="-",-1*Importance2,IF(List2_20="- -",-3*Importance2,IF(List2_20="- - -",-9*Importance2,"")))))))</f>
        <v>0</v>
      </c>
      <c r="CE64" s="41"/>
      <c r="CF64" s="41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</row>
    <row r="65" spans="1:122" ht="29.25" customHeight="1">
      <c r="A65" s="34"/>
      <c r="B65" s="34"/>
      <c r="C65" s="39" t="s">
        <v>21</v>
      </c>
      <c r="D65" s="56"/>
      <c r="E65" s="42"/>
      <c r="F65" s="62">
        <f>F64</f>
        <v>0</v>
      </c>
      <c r="G65" s="62"/>
      <c r="H65" s="62"/>
      <c r="I65" s="62"/>
      <c r="J65" s="62">
        <f>J64</f>
        <v>0</v>
      </c>
      <c r="K65" s="62"/>
      <c r="L65" s="62"/>
      <c r="M65" s="62"/>
      <c r="N65" s="62">
        <f>N64</f>
        <v>0</v>
      </c>
      <c r="O65" s="62"/>
      <c r="P65" s="62"/>
      <c r="Q65" s="62"/>
      <c r="R65" s="62">
        <f>R64</f>
        <v>0</v>
      </c>
      <c r="S65" s="62"/>
      <c r="T65" s="62"/>
      <c r="U65" s="62"/>
      <c r="V65" s="62">
        <f>V64</f>
        <v>0</v>
      </c>
      <c r="W65" s="62"/>
      <c r="X65" s="62"/>
      <c r="Y65" s="62"/>
      <c r="Z65" s="62">
        <f>Z64</f>
        <v>0</v>
      </c>
      <c r="AA65" s="62"/>
      <c r="AB65" s="62"/>
      <c r="AC65" s="62"/>
      <c r="AD65" s="62">
        <f>AD64</f>
        <v>0</v>
      </c>
      <c r="AE65" s="62"/>
      <c r="AF65" s="62"/>
      <c r="AG65" s="62"/>
      <c r="AH65" s="62">
        <f>AH64</f>
        <v>0</v>
      </c>
      <c r="AI65" s="62"/>
      <c r="AJ65" s="62"/>
      <c r="AK65" s="62"/>
      <c r="AL65" s="62">
        <f>AL64</f>
        <v>0</v>
      </c>
      <c r="AM65" s="62"/>
      <c r="AN65" s="62"/>
      <c r="AO65" s="62"/>
      <c r="AP65" s="62">
        <f>AP64</f>
        <v>0</v>
      </c>
      <c r="AQ65" s="62"/>
      <c r="AR65" s="62"/>
      <c r="AS65" s="62"/>
      <c r="AT65" s="62">
        <f>AT64</f>
        <v>0</v>
      </c>
      <c r="AU65" s="62"/>
      <c r="AV65" s="62"/>
      <c r="AW65" s="62"/>
      <c r="AX65" s="62">
        <f>AX64</f>
        <v>0</v>
      </c>
      <c r="AY65" s="62"/>
      <c r="AZ65" s="62"/>
      <c r="BA65" s="62"/>
      <c r="BB65" s="62">
        <f>BB64</f>
        <v>0</v>
      </c>
      <c r="BC65" s="62"/>
      <c r="BD65" s="62"/>
      <c r="BE65" s="62"/>
      <c r="BF65" s="62">
        <f>BF64</f>
        <v>0</v>
      </c>
      <c r="BG65" s="62"/>
      <c r="BH65" s="62"/>
      <c r="BI65" s="62"/>
      <c r="BJ65" s="62">
        <f>BJ64</f>
        <v>0</v>
      </c>
      <c r="BK65" s="62"/>
      <c r="BL65" s="62"/>
      <c r="BM65" s="62"/>
      <c r="BN65" s="62">
        <f>BN64</f>
        <v>0</v>
      </c>
      <c r="BO65" s="62"/>
      <c r="BP65" s="62"/>
      <c r="BQ65" s="62"/>
      <c r="BR65" s="62">
        <f>BR64</f>
        <v>0</v>
      </c>
      <c r="BS65" s="62"/>
      <c r="BT65" s="62"/>
      <c r="BU65" s="62"/>
      <c r="BV65" s="62">
        <f>BV64</f>
        <v>0</v>
      </c>
      <c r="BW65" s="62"/>
      <c r="BX65" s="62"/>
      <c r="BY65" s="62"/>
      <c r="BZ65" s="62">
        <f>BZ64</f>
        <v>0</v>
      </c>
      <c r="CA65" s="62"/>
      <c r="CB65" s="62"/>
      <c r="CC65" s="62"/>
      <c r="CD65" s="62">
        <f>CD64</f>
        <v>0</v>
      </c>
      <c r="CE65" s="62"/>
      <c r="CF65" s="62"/>
      <c r="CG65" s="62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</row>
    <row r="66" spans="1:122" ht="29.25" customHeight="1">
      <c r="A66" s="34"/>
      <c r="B66" s="34"/>
      <c r="C66" s="39" t="s">
        <v>22</v>
      </c>
      <c r="D66" s="56"/>
      <c r="E66" s="42"/>
      <c r="F66" s="62">
        <f>RANK(F65,$F65:$CG65,0)</f>
        <v>1</v>
      </c>
      <c r="G66" s="62"/>
      <c r="H66" s="62"/>
      <c r="I66" s="62"/>
      <c r="J66" s="62">
        <f>RANK(J65,$F65:$CG65,0)</f>
        <v>1</v>
      </c>
      <c r="K66" s="62"/>
      <c r="L66" s="62"/>
      <c r="M66" s="62"/>
      <c r="N66" s="62">
        <f>RANK(N65,$F65:$CG65,0)</f>
        <v>1</v>
      </c>
      <c r="O66" s="62"/>
      <c r="P66" s="62"/>
      <c r="Q66" s="62"/>
      <c r="R66" s="62">
        <f>RANK(R65,$F65:$CG65,0)</f>
        <v>1</v>
      </c>
      <c r="S66" s="62"/>
      <c r="T66" s="62"/>
      <c r="U66" s="62"/>
      <c r="V66" s="62">
        <f>RANK(V65,$F65:$CG65,0)</f>
        <v>1</v>
      </c>
      <c r="W66" s="62"/>
      <c r="X66" s="62"/>
      <c r="Y66" s="62"/>
      <c r="Z66" s="62">
        <f>RANK(Z65,$F65:$CG65,0)</f>
        <v>1</v>
      </c>
      <c r="AA66" s="62"/>
      <c r="AB66" s="62"/>
      <c r="AC66" s="62"/>
      <c r="AD66" s="62">
        <f>RANK(AD65,$F65:$CG65,0)</f>
        <v>1</v>
      </c>
      <c r="AE66" s="62"/>
      <c r="AF66" s="62"/>
      <c r="AG66" s="62"/>
      <c r="AH66" s="62">
        <f>RANK(AH65,$F65:$CG65,0)</f>
        <v>1</v>
      </c>
      <c r="AI66" s="62"/>
      <c r="AJ66" s="62"/>
      <c r="AK66" s="62"/>
      <c r="AL66" s="62">
        <f>RANK(AL65,$F65:$CG65,0)</f>
        <v>1</v>
      </c>
      <c r="AM66" s="62"/>
      <c r="AN66" s="62"/>
      <c r="AO66" s="62"/>
      <c r="AP66" s="62">
        <f>RANK(AP65,$F65:$CG65,0)</f>
        <v>1</v>
      </c>
      <c r="AQ66" s="62"/>
      <c r="AR66" s="62"/>
      <c r="AS66" s="62"/>
      <c r="AT66" s="62">
        <f>RANK(AT65,$F65:$CG65,0)</f>
        <v>1</v>
      </c>
      <c r="AU66" s="62"/>
      <c r="AV66" s="62"/>
      <c r="AW66" s="62"/>
      <c r="AX66" s="62">
        <f>RANK(AX65,$F65:$CG65,0)</f>
        <v>1</v>
      </c>
      <c r="AY66" s="62"/>
      <c r="AZ66" s="62"/>
      <c r="BA66" s="62"/>
      <c r="BB66" s="62">
        <f>RANK(BB65,$F65:$CG65,0)</f>
        <v>1</v>
      </c>
      <c r="BC66" s="62"/>
      <c r="BD66" s="62"/>
      <c r="BE66" s="62"/>
      <c r="BF66" s="62">
        <f>RANK(BF65,$F65:$CG65,0)</f>
        <v>1</v>
      </c>
      <c r="BG66" s="62"/>
      <c r="BH66" s="62"/>
      <c r="BI66" s="62"/>
      <c r="BJ66" s="62">
        <f>RANK(BJ65,$F65:$CG65,0)</f>
        <v>1</v>
      </c>
      <c r="BK66" s="62"/>
      <c r="BL66" s="62"/>
      <c r="BM66" s="62"/>
      <c r="BN66" s="62">
        <f>RANK(BN65,$F65:$CG65,0)</f>
        <v>1</v>
      </c>
      <c r="BO66" s="62"/>
      <c r="BP66" s="62"/>
      <c r="BQ66" s="62"/>
      <c r="BR66" s="62">
        <f>RANK(BR65,$F65:$CG65,0)</f>
        <v>1</v>
      </c>
      <c r="BS66" s="62"/>
      <c r="BT66" s="62"/>
      <c r="BU66" s="62"/>
      <c r="BV66" s="62">
        <f>RANK(BV65,$F65:$CG65,0)</f>
        <v>1</v>
      </c>
      <c r="BW66" s="62"/>
      <c r="BX66" s="62"/>
      <c r="BY66" s="62"/>
      <c r="BZ66" s="62">
        <f>RANK(BZ65,$F65:$CG65,0)</f>
        <v>1</v>
      </c>
      <c r="CA66" s="62"/>
      <c r="CB66" s="62"/>
      <c r="CC66" s="62"/>
      <c r="CD66" s="62">
        <f>RANK(CD65,$F65:$CG65,0)</f>
        <v>1</v>
      </c>
      <c r="CE66" s="62"/>
      <c r="CF66" s="62"/>
      <c r="CG66" s="62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</row>
    <row r="67" spans="1:12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</row>
    <row r="68" spans="1:12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60" t="s">
        <v>23</v>
      </c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</row>
    <row r="69" spans="1:12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</row>
    <row r="70" spans="1:122">
      <c r="A70" s="34"/>
      <c r="B70" s="34"/>
      <c r="C70" s="34"/>
      <c r="D70" s="43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</row>
    <row r="71" spans="1:122">
      <c r="A71" s="34"/>
      <c r="B71" s="34"/>
      <c r="C71" s="34"/>
      <c r="D71" s="43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</row>
    <row r="72" spans="1:122">
      <c r="A72" s="34"/>
      <c r="B72" s="34"/>
      <c r="C72" s="34"/>
      <c r="D72" s="43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</row>
    <row r="73" spans="1:122">
      <c r="A73" s="34"/>
      <c r="B73" s="34"/>
      <c r="C73" s="34"/>
      <c r="D73" s="43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</row>
    <row r="74" spans="1:122">
      <c r="A74" s="34"/>
      <c r="B74" s="34"/>
      <c r="C74" s="44" t="s">
        <v>24</v>
      </c>
      <c r="D74" s="43"/>
      <c r="E74" s="3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</row>
    <row r="75" spans="1:122">
      <c r="A75" s="34"/>
      <c r="B75" s="34">
        <v>1</v>
      </c>
      <c r="C75" s="45" t="s">
        <v>4</v>
      </c>
      <c r="D75" s="46"/>
      <c r="E75" s="47" t="s">
        <v>5</v>
      </c>
      <c r="F75" s="46"/>
      <c r="G75" s="46"/>
      <c r="H75" s="46"/>
      <c r="I75" s="46"/>
      <c r="J75" s="46"/>
      <c r="K75" s="46"/>
      <c r="L75" s="46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</row>
    <row r="76" spans="1:122">
      <c r="A76" s="34"/>
      <c r="B76" s="34">
        <v>2</v>
      </c>
      <c r="C76" s="45" t="s">
        <v>6</v>
      </c>
      <c r="D76" s="46"/>
      <c r="E76" s="48" t="s">
        <v>7</v>
      </c>
      <c r="F76" s="46"/>
      <c r="G76" s="46"/>
      <c r="H76" s="46"/>
      <c r="I76" s="46"/>
      <c r="J76" s="46"/>
      <c r="K76" s="46"/>
      <c r="L76" s="46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</row>
    <row r="77" spans="1:122">
      <c r="A77" s="34"/>
      <c r="B77" s="34">
        <v>3</v>
      </c>
      <c r="C77" s="45" t="s">
        <v>8</v>
      </c>
      <c r="D77" s="46"/>
      <c r="E77" s="49" t="s">
        <v>9</v>
      </c>
      <c r="F77" s="46"/>
      <c r="G77" s="46"/>
      <c r="H77" s="46"/>
      <c r="I77" s="46"/>
      <c r="J77" s="46"/>
      <c r="K77" s="46"/>
      <c r="L77" s="46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</row>
    <row r="78" spans="1:122">
      <c r="A78" s="34"/>
      <c r="B78" s="34">
        <v>4</v>
      </c>
      <c r="C78" s="1" t="s">
        <v>25</v>
      </c>
      <c r="E78" s="50"/>
      <c r="F78" s="46"/>
      <c r="G78" s="46"/>
      <c r="H78" s="46"/>
      <c r="I78" s="46"/>
      <c r="J78" s="46"/>
      <c r="K78" s="46"/>
      <c r="L78" s="46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</row>
    <row r="79" spans="1:122">
      <c r="A79" s="34"/>
      <c r="B79" s="34">
        <v>5</v>
      </c>
      <c r="C79" s="45" t="s">
        <v>11</v>
      </c>
      <c r="D79" s="46"/>
      <c r="E79" s="51" t="s">
        <v>12</v>
      </c>
      <c r="F79" s="46"/>
      <c r="G79" s="46"/>
      <c r="H79" s="46"/>
      <c r="I79" s="46"/>
      <c r="J79" s="46"/>
      <c r="K79" s="46"/>
      <c r="L79" s="46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</row>
    <row r="80" spans="1:122">
      <c r="A80" s="34"/>
      <c r="B80" s="34">
        <v>6</v>
      </c>
      <c r="C80" s="45" t="s">
        <v>13</v>
      </c>
      <c r="D80" s="46"/>
      <c r="E80" s="52" t="s">
        <v>14</v>
      </c>
      <c r="F80" s="46"/>
      <c r="G80" s="46"/>
      <c r="H80" s="46"/>
      <c r="I80" s="46"/>
      <c r="J80" s="46"/>
      <c r="K80" s="46"/>
      <c r="L80" s="46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</row>
    <row r="81" spans="1:122">
      <c r="A81" s="34"/>
      <c r="B81" s="34">
        <v>7</v>
      </c>
      <c r="C81" s="45" t="s">
        <v>15</v>
      </c>
      <c r="D81" s="46"/>
      <c r="E81" s="53" t="s">
        <v>26</v>
      </c>
      <c r="F81" s="46"/>
      <c r="G81" s="46"/>
      <c r="H81" s="46"/>
      <c r="I81" s="46"/>
      <c r="J81" s="46"/>
      <c r="K81" s="46"/>
      <c r="L81" s="46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</row>
    <row r="82" spans="1:122">
      <c r="A82" s="34"/>
      <c r="B82" s="34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</row>
    <row r="83" spans="1:122">
      <c r="A83" s="34"/>
      <c r="B83" s="34"/>
      <c r="D83" s="46"/>
      <c r="E83" s="46"/>
      <c r="F83" s="46"/>
      <c r="G83" s="46"/>
      <c r="H83" s="46"/>
      <c r="I83" s="46"/>
      <c r="J83" s="46"/>
      <c r="K83" s="46"/>
      <c r="L83" s="46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</row>
    <row r="84" spans="1:122">
      <c r="A84" s="34"/>
      <c r="B84" s="34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</row>
    <row r="85" spans="1:122">
      <c r="A85" s="34"/>
      <c r="B85" s="34"/>
      <c r="D85" s="46"/>
      <c r="E85" s="46"/>
      <c r="F85" s="46"/>
      <c r="G85" s="46"/>
      <c r="H85" s="46"/>
      <c r="I85" s="46"/>
      <c r="J85" s="46"/>
      <c r="K85" s="46"/>
      <c r="L85" s="46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</row>
    <row r="86" spans="1:122">
      <c r="A86" s="34"/>
      <c r="B86" s="34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</row>
    <row r="87" spans="1:12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</row>
    <row r="88" spans="1:12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</row>
    <row r="89" spans="1:12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</row>
    <row r="90" spans="1:12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</row>
    <row r="91" spans="1:12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</row>
    <row r="92" spans="1:12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</row>
    <row r="93" spans="1:12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</row>
    <row r="94" spans="1:12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</row>
    <row r="95" spans="1:12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</row>
    <row r="96" spans="1:12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</row>
    <row r="97" spans="1:12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</row>
    <row r="98" spans="1:12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</row>
    <row r="99" spans="1:12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</row>
    <row r="100" spans="1:12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</row>
    <row r="101" spans="1:12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</row>
    <row r="102" spans="1:12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</row>
    <row r="103" spans="1:12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</row>
    <row r="104" spans="1:12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</row>
    <row r="105" spans="1:12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</row>
    <row r="106" spans="1:12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</row>
    <row r="107" spans="1:12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</row>
    <row r="108" spans="1:12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</row>
    <row r="109" spans="1:12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</row>
    <row r="110" spans="1:12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</row>
    <row r="111" spans="1:12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</row>
    <row r="112" spans="1:12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</row>
    <row r="113" spans="1:12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</row>
    <row r="114" spans="1:12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</row>
    <row r="115" spans="1:12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</row>
    <row r="116" spans="1:12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</row>
    <row r="117" spans="1:12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</row>
    <row r="118" spans="1:12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</row>
    <row r="119" spans="1:12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</row>
    <row r="120" spans="1:12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</row>
    <row r="121" spans="1:12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</row>
    <row r="122" spans="1: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</row>
    <row r="123" spans="1:12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</row>
    <row r="124" spans="1:12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</row>
    <row r="125" spans="1:12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</row>
    <row r="126" spans="1:12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</row>
    <row r="127" spans="1:12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</row>
    <row r="128" spans="1:12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</row>
    <row r="129" spans="1:12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</row>
    <row r="130" spans="1:12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</row>
    <row r="131" spans="1:12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</row>
    <row r="132" spans="1:12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</row>
    <row r="133" spans="1:12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</row>
    <row r="134" spans="1:12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</row>
    <row r="135" spans="1:12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</row>
    <row r="136" spans="1:12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</row>
    <row r="137" spans="1:12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</row>
    <row r="138" spans="1:12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</row>
    <row r="139" spans="1:12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</row>
    <row r="140" spans="1:12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</row>
    <row r="141" spans="1:12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</row>
    <row r="142" spans="1:12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</row>
    <row r="143" spans="1:12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</row>
    <row r="144" spans="1:12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</row>
    <row r="145" spans="1:12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</row>
    <row r="146" spans="1:12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</row>
    <row r="147" spans="1:12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</row>
    <row r="148" spans="1:12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</row>
    <row r="149" spans="1:12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</row>
    <row r="150" spans="1:12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</row>
    <row r="151" spans="1:12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</row>
    <row r="152" spans="1:12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</row>
    <row r="153" spans="1:12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</row>
    <row r="154" spans="1:12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</row>
    <row r="155" spans="1:12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</row>
    <row r="156" spans="1:12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</row>
    <row r="157" spans="1:12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</row>
    <row r="158" spans="1:12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</row>
    <row r="159" spans="1:12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</row>
    <row r="160" spans="1:12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</row>
    <row r="161" spans="1:12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</row>
    <row r="162" spans="1:12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</row>
    <row r="163" spans="1:12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</row>
    <row r="164" spans="1:12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</row>
    <row r="165" spans="1:12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</row>
    <row r="166" spans="1:12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</row>
    <row r="167" spans="1:12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</row>
    <row r="168" spans="1:12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</row>
    <row r="169" spans="1:12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</row>
    <row r="170" spans="1:12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</row>
    <row r="171" spans="1:12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</row>
    <row r="172" spans="1:12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</row>
    <row r="173" spans="1:12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</row>
    <row r="174" spans="1:12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</row>
    <row r="175" spans="1:12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</row>
    <row r="176" spans="1:12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</row>
    <row r="177" spans="1:12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</row>
    <row r="178" spans="1:12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</row>
    <row r="179" spans="1:12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</row>
    <row r="180" spans="1:12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</row>
    <row r="181" spans="1:12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</row>
    <row r="182" spans="1:12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</row>
    <row r="183" spans="1:12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</row>
    <row r="184" spans="1:12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</row>
    <row r="185" spans="1:12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</row>
    <row r="186" spans="1:12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</row>
    <row r="187" spans="1:12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</row>
    <row r="188" spans="1:12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</row>
    <row r="189" spans="1:12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</row>
    <row r="190" spans="1:12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</row>
    <row r="191" spans="1:12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</row>
    <row r="192" spans="1:12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</row>
    <row r="193" spans="1:12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</row>
    <row r="194" spans="1:12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</row>
    <row r="195" spans="1:12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</row>
    <row r="196" spans="1:12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</row>
    <row r="197" spans="1:12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</row>
    <row r="198" spans="1:12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</row>
    <row r="199" spans="1:12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</row>
    <row r="200" spans="1:12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</row>
    <row r="201" spans="1:12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</row>
    <row r="202" spans="1:12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</row>
    <row r="203" spans="1:12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</row>
    <row r="204" spans="1:12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</row>
    <row r="205" spans="1:12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</row>
    <row r="206" spans="1:12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</row>
    <row r="207" spans="1:12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</row>
    <row r="208" spans="1:12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</row>
    <row r="209" spans="1:12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</row>
    <row r="210" spans="1:12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</row>
    <row r="211" spans="1:12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</row>
    <row r="212" spans="1:12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</row>
    <row r="213" spans="1:12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</row>
    <row r="214" spans="1:12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</row>
    <row r="215" spans="1:12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</row>
    <row r="216" spans="1:12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</row>
    <row r="217" spans="1:12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</row>
    <row r="218" spans="1:12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</row>
  </sheetData>
  <mergeCells count="918">
    <mergeCell ref="A1:C2"/>
    <mergeCell ref="D1:AD1"/>
    <mergeCell ref="AS3:AT4"/>
    <mergeCell ref="AQ5:AR6"/>
    <mergeCell ref="AS5:AT6"/>
    <mergeCell ref="AU5:AV6"/>
    <mergeCell ref="C6:E7"/>
    <mergeCell ref="AO7:AP8"/>
    <mergeCell ref="AQ7:AR8"/>
    <mergeCell ref="AS7:AT8"/>
    <mergeCell ref="AU7:AV8"/>
    <mergeCell ref="AW7:AX8"/>
    <mergeCell ref="CA8:CD9"/>
    <mergeCell ref="AM9:AN10"/>
    <mergeCell ref="AO9:AP10"/>
    <mergeCell ref="AQ9:AR10"/>
    <mergeCell ref="AS9:AT10"/>
    <mergeCell ref="AU9:AV10"/>
    <mergeCell ref="AW9:AX10"/>
    <mergeCell ref="AY9:AZ10"/>
    <mergeCell ref="AI13:AJ14"/>
    <mergeCell ref="AK13:AL14"/>
    <mergeCell ref="AM13:AN14"/>
    <mergeCell ref="AO13:AP14"/>
    <mergeCell ref="AQ13:AR14"/>
    <mergeCell ref="AS13:AT14"/>
    <mergeCell ref="AU13:AV14"/>
    <mergeCell ref="CC10:CO11"/>
    <mergeCell ref="CP10:CP11"/>
    <mergeCell ref="AK11:AL12"/>
    <mergeCell ref="AM11:AN12"/>
    <mergeCell ref="AO11:AP12"/>
    <mergeCell ref="AQ11:AR12"/>
    <mergeCell ref="AS11:AT12"/>
    <mergeCell ref="AU11:AV12"/>
    <mergeCell ref="AW11:AX12"/>
    <mergeCell ref="AY11:AZ12"/>
    <mergeCell ref="CC14:CO15"/>
    <mergeCell ref="AY15:AZ16"/>
    <mergeCell ref="BA15:BB16"/>
    <mergeCell ref="BC15:BD16"/>
    <mergeCell ref="BE15:BF16"/>
    <mergeCell ref="CC16:CO17"/>
    <mergeCell ref="BA11:BB12"/>
    <mergeCell ref="CC12:CO13"/>
    <mergeCell ref="CP12:CP13"/>
    <mergeCell ref="AW15:AX16"/>
    <mergeCell ref="CP16:CP17"/>
    <mergeCell ref="AE17:AF18"/>
    <mergeCell ref="AG17:AH18"/>
    <mergeCell ref="AI17:AJ18"/>
    <mergeCell ref="AK17:AL18"/>
    <mergeCell ref="AM17:AN18"/>
    <mergeCell ref="AO17:AP18"/>
    <mergeCell ref="AQ17:AR18"/>
    <mergeCell ref="AS17:AT18"/>
    <mergeCell ref="BE17:BF18"/>
    <mergeCell ref="CP14:CP15"/>
    <mergeCell ref="AG15:AH16"/>
    <mergeCell ref="AI15:AJ16"/>
    <mergeCell ref="AK15:AL16"/>
    <mergeCell ref="AM15:AN16"/>
    <mergeCell ref="AO15:AP16"/>
    <mergeCell ref="AQ15:AR16"/>
    <mergeCell ref="AS15:AT16"/>
    <mergeCell ref="AU15:AV16"/>
    <mergeCell ref="AW13:AX14"/>
    <mergeCell ref="AY13:AZ14"/>
    <mergeCell ref="BA13:BB14"/>
    <mergeCell ref="BC13:BD14"/>
    <mergeCell ref="AS19:AT20"/>
    <mergeCell ref="AU19:AV20"/>
    <mergeCell ref="AW19:AX20"/>
    <mergeCell ref="AY19:AZ20"/>
    <mergeCell ref="BA19:BB20"/>
    <mergeCell ref="BC19:BD20"/>
    <mergeCell ref="CC18:CO19"/>
    <mergeCell ref="CP18:CP19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U17:AV18"/>
    <mergeCell ref="AW17:AX18"/>
    <mergeCell ref="AY17:AZ18"/>
    <mergeCell ref="BA17:BB18"/>
    <mergeCell ref="BC17:BD18"/>
    <mergeCell ref="BG17:BH18"/>
    <mergeCell ref="BE19:BF20"/>
    <mergeCell ref="BG19:BH20"/>
    <mergeCell ref="BI19:BJ20"/>
    <mergeCell ref="CC20:CO21"/>
    <mergeCell ref="CP20:CP21"/>
    <mergeCell ref="BG21:BH22"/>
    <mergeCell ref="BI21:BJ22"/>
    <mergeCell ref="BK21:BL22"/>
    <mergeCell ref="CC22:CO23"/>
    <mergeCell ref="CP22:CP23"/>
    <mergeCell ref="BM23:BN24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BE21:BF22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23:AP24"/>
    <mergeCell ref="AS21:AT22"/>
    <mergeCell ref="AU21:AV22"/>
    <mergeCell ref="AW21:AX22"/>
    <mergeCell ref="AY21:AZ22"/>
    <mergeCell ref="BA21:BB22"/>
    <mergeCell ref="BC21:BD22"/>
    <mergeCell ref="BG23:BH24"/>
    <mergeCell ref="BI23:BJ24"/>
    <mergeCell ref="BK23:BL24"/>
    <mergeCell ref="W25:X26"/>
    <mergeCell ref="Y25:Z26"/>
    <mergeCell ref="AA25:AB26"/>
    <mergeCell ref="AC25:AD26"/>
    <mergeCell ref="AE25:AF26"/>
    <mergeCell ref="AQ23:AR24"/>
    <mergeCell ref="AS23:AT24"/>
    <mergeCell ref="AU23:AV24"/>
    <mergeCell ref="AW23:AX24"/>
    <mergeCell ref="AY23:AZ24"/>
    <mergeCell ref="BA23:BB24"/>
    <mergeCell ref="BC25:BD26"/>
    <mergeCell ref="AG25:AH26"/>
    <mergeCell ref="AI25:AJ26"/>
    <mergeCell ref="AK25:AL26"/>
    <mergeCell ref="AM25:AN26"/>
    <mergeCell ref="AO25:AP26"/>
    <mergeCell ref="AQ25:AR26"/>
    <mergeCell ref="BC23:BD24"/>
    <mergeCell ref="BE23:BF24"/>
    <mergeCell ref="AI27:AJ28"/>
    <mergeCell ref="AK27:AL28"/>
    <mergeCell ref="AM27:AN28"/>
    <mergeCell ref="CN26:CO26"/>
    <mergeCell ref="C27:D30"/>
    <mergeCell ref="U27:V28"/>
    <mergeCell ref="W27:X28"/>
    <mergeCell ref="Y27:Z28"/>
    <mergeCell ref="S29:T30"/>
    <mergeCell ref="U29:V30"/>
    <mergeCell ref="W29:X30"/>
    <mergeCell ref="Y29:Z30"/>
    <mergeCell ref="AA27:AB28"/>
    <mergeCell ref="BE25:BF26"/>
    <mergeCell ref="BG25:BH26"/>
    <mergeCell ref="BI25:BJ26"/>
    <mergeCell ref="BK25:BL26"/>
    <mergeCell ref="BM25:BN26"/>
    <mergeCell ref="BO25:BP26"/>
    <mergeCell ref="AS25:AT26"/>
    <mergeCell ref="AU25:AV26"/>
    <mergeCell ref="AW25:AX26"/>
    <mergeCell ref="AY25:AZ26"/>
    <mergeCell ref="BA25:BB26"/>
    <mergeCell ref="BO27:BP28"/>
    <mergeCell ref="BQ27:BR28"/>
    <mergeCell ref="CN27:CO27"/>
    <mergeCell ref="CN28:CO28"/>
    <mergeCell ref="AA29:AB30"/>
    <mergeCell ref="AC29:AD30"/>
    <mergeCell ref="AE29:AF30"/>
    <mergeCell ref="AG29:AH30"/>
    <mergeCell ref="AI29:AJ30"/>
    <mergeCell ref="BA27:BB28"/>
    <mergeCell ref="BC27:BD28"/>
    <mergeCell ref="BE27:BF28"/>
    <mergeCell ref="BG27:BH28"/>
    <mergeCell ref="BI27:BJ28"/>
    <mergeCell ref="BK27:BL28"/>
    <mergeCell ref="AO27:AP28"/>
    <mergeCell ref="AQ27:AR28"/>
    <mergeCell ref="AS27:AT28"/>
    <mergeCell ref="AU27:AV28"/>
    <mergeCell ref="AW27:AX28"/>
    <mergeCell ref="AY27:AZ28"/>
    <mergeCell ref="AC27:AD28"/>
    <mergeCell ref="AE27:AF28"/>
    <mergeCell ref="AG27:AH28"/>
    <mergeCell ref="BE29:BF30"/>
    <mergeCell ref="BG29:BH30"/>
    <mergeCell ref="AK29:AL30"/>
    <mergeCell ref="AM29:AN30"/>
    <mergeCell ref="AO29:AP30"/>
    <mergeCell ref="AQ29:AR30"/>
    <mergeCell ref="AS29:AT30"/>
    <mergeCell ref="AU29:AV30"/>
    <mergeCell ref="BM27:BN28"/>
    <mergeCell ref="AK31:AL32"/>
    <mergeCell ref="AM31:AN32"/>
    <mergeCell ref="AO31:AP32"/>
    <mergeCell ref="AQ31:AR32"/>
    <mergeCell ref="CN29:CO29"/>
    <mergeCell ref="CN30:CO30"/>
    <mergeCell ref="Q31:R32"/>
    <mergeCell ref="S31:T32"/>
    <mergeCell ref="U31:V32"/>
    <mergeCell ref="W31:X32"/>
    <mergeCell ref="Y31:Z32"/>
    <mergeCell ref="AA31:AB32"/>
    <mergeCell ref="AC31:AD32"/>
    <mergeCell ref="AE31:AF32"/>
    <mergeCell ref="BI29:BJ30"/>
    <mergeCell ref="BK29:BL30"/>
    <mergeCell ref="BM29:BN30"/>
    <mergeCell ref="BO29:BP30"/>
    <mergeCell ref="BQ29:BR30"/>
    <mergeCell ref="BS29:BT30"/>
    <mergeCell ref="AW29:AX30"/>
    <mergeCell ref="AY29:AZ30"/>
    <mergeCell ref="BA29:BB30"/>
    <mergeCell ref="BC29:BD30"/>
    <mergeCell ref="BQ31:BR32"/>
    <mergeCell ref="BS31:BT32"/>
    <mergeCell ref="BU31:BV32"/>
    <mergeCell ref="CN31:CO31"/>
    <mergeCell ref="O33:P34"/>
    <mergeCell ref="Q33:R34"/>
    <mergeCell ref="S33:T34"/>
    <mergeCell ref="U33:V34"/>
    <mergeCell ref="W33:X34"/>
    <mergeCell ref="Y33:Z34"/>
    <mergeCell ref="BE31:BF32"/>
    <mergeCell ref="BG31:BH32"/>
    <mergeCell ref="BI31:BJ32"/>
    <mergeCell ref="BK31:BL32"/>
    <mergeCell ref="BM31:BN32"/>
    <mergeCell ref="BO31:BP32"/>
    <mergeCell ref="AS31:AT32"/>
    <mergeCell ref="AU31:AV32"/>
    <mergeCell ref="AW31:AX32"/>
    <mergeCell ref="AY31:AZ32"/>
    <mergeCell ref="BA31:BB32"/>
    <mergeCell ref="BC31:BD32"/>
    <mergeCell ref="AG31:AH32"/>
    <mergeCell ref="AI31:AJ32"/>
    <mergeCell ref="AM33:AN34"/>
    <mergeCell ref="AO33:AP34"/>
    <mergeCell ref="AQ33:AR34"/>
    <mergeCell ref="AS33:AT34"/>
    <mergeCell ref="AU33:AV34"/>
    <mergeCell ref="AW33:AX34"/>
    <mergeCell ref="AA33:AB34"/>
    <mergeCell ref="AC33:AD34"/>
    <mergeCell ref="AE33:AF34"/>
    <mergeCell ref="AG33:AH34"/>
    <mergeCell ref="AI33:AJ34"/>
    <mergeCell ref="AK33:AL34"/>
    <mergeCell ref="BK33:BL34"/>
    <mergeCell ref="BM33:BN34"/>
    <mergeCell ref="BO33:BP34"/>
    <mergeCell ref="BQ33:BR34"/>
    <mergeCell ref="BS33:BT34"/>
    <mergeCell ref="BU33:BV34"/>
    <mergeCell ref="AY33:AZ34"/>
    <mergeCell ref="BA33:BB34"/>
    <mergeCell ref="BC33:BD34"/>
    <mergeCell ref="BE33:BF34"/>
    <mergeCell ref="BG33:BH34"/>
    <mergeCell ref="BI33:BJ34"/>
    <mergeCell ref="BW33:BX34"/>
    <mergeCell ref="CI34:CP40"/>
    <mergeCell ref="BY35:BZ36"/>
    <mergeCell ref="BW37:BX38"/>
    <mergeCell ref="BY37:BZ38"/>
    <mergeCell ref="CA37:CB38"/>
    <mergeCell ref="BY39:BZ40"/>
    <mergeCell ref="CA39:CB40"/>
    <mergeCell ref="CC39:CD40"/>
    <mergeCell ref="BU39:BV40"/>
    <mergeCell ref="BW39:BX40"/>
    <mergeCell ref="M35:N36"/>
    <mergeCell ref="O35:P36"/>
    <mergeCell ref="Q35:R36"/>
    <mergeCell ref="S35:T36"/>
    <mergeCell ref="U35:V36"/>
    <mergeCell ref="W35:X36"/>
    <mergeCell ref="Y35:Z36"/>
    <mergeCell ref="AA35:AB36"/>
    <mergeCell ref="BS35:BT36"/>
    <mergeCell ref="BU35:BV36"/>
    <mergeCell ref="BW35:BX36"/>
    <mergeCell ref="BA35:BB36"/>
    <mergeCell ref="BC35:BD36"/>
    <mergeCell ref="BE35:BF36"/>
    <mergeCell ref="BG35:BH36"/>
    <mergeCell ref="BI35:BJ36"/>
    <mergeCell ref="BK35:BL36"/>
    <mergeCell ref="K37:L38"/>
    <mergeCell ref="M37:N38"/>
    <mergeCell ref="O37:P38"/>
    <mergeCell ref="Q37:R38"/>
    <mergeCell ref="S37:T38"/>
    <mergeCell ref="U37:V38"/>
    <mergeCell ref="BM35:BN36"/>
    <mergeCell ref="BO35:BP36"/>
    <mergeCell ref="BQ35:BR36"/>
    <mergeCell ref="AO35:AP36"/>
    <mergeCell ref="AQ35:AR36"/>
    <mergeCell ref="AS35:AT36"/>
    <mergeCell ref="AU35:AV36"/>
    <mergeCell ref="AW35:AX36"/>
    <mergeCell ref="AY35:AZ36"/>
    <mergeCell ref="AC35:AD36"/>
    <mergeCell ref="AE35:AF36"/>
    <mergeCell ref="AG35:AH36"/>
    <mergeCell ref="AI35:AJ36"/>
    <mergeCell ref="AK35:AL36"/>
    <mergeCell ref="AM35:AN36"/>
    <mergeCell ref="AM37:AN38"/>
    <mergeCell ref="AO37:AP38"/>
    <mergeCell ref="AQ37:AR38"/>
    <mergeCell ref="AS37:AT38"/>
    <mergeCell ref="W37:X38"/>
    <mergeCell ref="Y37:Z38"/>
    <mergeCell ref="AA37:AB38"/>
    <mergeCell ref="AC37:AD38"/>
    <mergeCell ref="AE37:AF38"/>
    <mergeCell ref="AG37:AH38"/>
    <mergeCell ref="BS37:BT38"/>
    <mergeCell ref="BU37:BV38"/>
    <mergeCell ref="I39:J40"/>
    <mergeCell ref="K39:L40"/>
    <mergeCell ref="M39:N40"/>
    <mergeCell ref="O39:P40"/>
    <mergeCell ref="Q39:R40"/>
    <mergeCell ref="S39:T40"/>
    <mergeCell ref="U39:V40"/>
    <mergeCell ref="W39:X40"/>
    <mergeCell ref="BG37:BH38"/>
    <mergeCell ref="BI37:BJ38"/>
    <mergeCell ref="BK37:BL38"/>
    <mergeCell ref="BM37:BN38"/>
    <mergeCell ref="BO37:BP38"/>
    <mergeCell ref="BQ37:BR38"/>
    <mergeCell ref="AU37:AV38"/>
    <mergeCell ref="AW37:AX38"/>
    <mergeCell ref="AY37:AZ38"/>
    <mergeCell ref="BA37:BB38"/>
    <mergeCell ref="BC37:BD38"/>
    <mergeCell ref="BE37:BF38"/>
    <mergeCell ref="AI37:AJ38"/>
    <mergeCell ref="AK37:AL38"/>
    <mergeCell ref="BO39:BP40"/>
    <mergeCell ref="BQ39:BR40"/>
    <mergeCell ref="BS39:BT40"/>
    <mergeCell ref="AW39:AX40"/>
    <mergeCell ref="AY39:AZ40"/>
    <mergeCell ref="BA39:BB40"/>
    <mergeCell ref="BC39:BD40"/>
    <mergeCell ref="BE39:BF40"/>
    <mergeCell ref="BG39:BH40"/>
    <mergeCell ref="G41:H41"/>
    <mergeCell ref="K41:L41"/>
    <mergeCell ref="O41:P41"/>
    <mergeCell ref="S41:T41"/>
    <mergeCell ref="W41:X41"/>
    <mergeCell ref="AA41:AB41"/>
    <mergeCell ref="BI39:BJ40"/>
    <mergeCell ref="BK39:BL40"/>
    <mergeCell ref="BM39:BN40"/>
    <mergeCell ref="AK39:AL40"/>
    <mergeCell ref="AM39:AN40"/>
    <mergeCell ref="AO39:AP40"/>
    <mergeCell ref="AQ39:AR40"/>
    <mergeCell ref="AS39:AT40"/>
    <mergeCell ref="AU39:AV40"/>
    <mergeCell ref="Y39:Z40"/>
    <mergeCell ref="AA39:AB40"/>
    <mergeCell ref="AC39:AD40"/>
    <mergeCell ref="AE39:AF40"/>
    <mergeCell ref="AG39:AH40"/>
    <mergeCell ref="AI39:AJ40"/>
    <mergeCell ref="CL41:CP41"/>
    <mergeCell ref="CD42:CG43"/>
    <mergeCell ref="CL42:CL43"/>
    <mergeCell ref="CM42:CM43"/>
    <mergeCell ref="CN42:CN43"/>
    <mergeCell ref="CO42:CO43"/>
    <mergeCell ref="CP42:CP43"/>
    <mergeCell ref="AE41:AF41"/>
    <mergeCell ref="BG41:BH41"/>
    <mergeCell ref="BK41:BL41"/>
    <mergeCell ref="AI41:AJ41"/>
    <mergeCell ref="AM41:AN41"/>
    <mergeCell ref="AQ41:AR41"/>
    <mergeCell ref="AU41:AV41"/>
    <mergeCell ref="CE41:CF41"/>
    <mergeCell ref="CI41:CI43"/>
    <mergeCell ref="CJ41:CJ43"/>
    <mergeCell ref="BO41:BP41"/>
    <mergeCell ref="BS41:BT41"/>
    <mergeCell ref="BW41:BX41"/>
    <mergeCell ref="CA41:CB41"/>
    <mergeCell ref="AY41:AZ41"/>
    <mergeCell ref="BC41:BD41"/>
    <mergeCell ref="BN42:BQ43"/>
    <mergeCell ref="BR42:BU43"/>
    <mergeCell ref="BV42:BY43"/>
    <mergeCell ref="BZ42:CC43"/>
    <mergeCell ref="B43:C43"/>
    <mergeCell ref="B44:C44"/>
    <mergeCell ref="F44:I44"/>
    <mergeCell ref="J44:M44"/>
    <mergeCell ref="E42:E43"/>
    <mergeCell ref="F42:I43"/>
    <mergeCell ref="AP42:AS43"/>
    <mergeCell ref="AT42:AW43"/>
    <mergeCell ref="AX42:BA43"/>
    <mergeCell ref="BB42:BE43"/>
    <mergeCell ref="BF42:BI43"/>
    <mergeCell ref="BJ42:BM43"/>
    <mergeCell ref="R42:U43"/>
    <mergeCell ref="V42:Y43"/>
    <mergeCell ref="Z42:AC43"/>
    <mergeCell ref="AD42:AG43"/>
    <mergeCell ref="AH42:AK43"/>
    <mergeCell ref="AL42:AO43"/>
    <mergeCell ref="N42:Q43"/>
    <mergeCell ref="AL44:AO44"/>
    <mergeCell ref="AP44:AS44"/>
    <mergeCell ref="AT44:AW44"/>
    <mergeCell ref="AX44:BA44"/>
    <mergeCell ref="BB44:BE44"/>
    <mergeCell ref="J42:M43"/>
    <mergeCell ref="N44:Q44"/>
    <mergeCell ref="R44:U44"/>
    <mergeCell ref="V44:Y44"/>
    <mergeCell ref="Z44:AC44"/>
    <mergeCell ref="AD44:AG44"/>
    <mergeCell ref="CD45:CG45"/>
    <mergeCell ref="AL45:AO45"/>
    <mergeCell ref="AP45:AS45"/>
    <mergeCell ref="AT45:AW45"/>
    <mergeCell ref="AX45:BA45"/>
    <mergeCell ref="BB45:BE45"/>
    <mergeCell ref="BF45:BI45"/>
    <mergeCell ref="CD44:CG44"/>
    <mergeCell ref="B45:C45"/>
    <mergeCell ref="F45:I45"/>
    <mergeCell ref="J45:M45"/>
    <mergeCell ref="N45:Q45"/>
    <mergeCell ref="R45:U45"/>
    <mergeCell ref="V45:Y45"/>
    <mergeCell ref="Z45:AC45"/>
    <mergeCell ref="AD45:AG45"/>
    <mergeCell ref="AH45:AK45"/>
    <mergeCell ref="BF44:BI44"/>
    <mergeCell ref="BJ44:BM44"/>
    <mergeCell ref="BN44:BQ44"/>
    <mergeCell ref="BR44:BU44"/>
    <mergeCell ref="BV44:BY44"/>
    <mergeCell ref="BZ44:CC44"/>
    <mergeCell ref="AH44:AK44"/>
    <mergeCell ref="J46:M46"/>
    <mergeCell ref="N46:Q46"/>
    <mergeCell ref="R46:U46"/>
    <mergeCell ref="V46:Y46"/>
    <mergeCell ref="BJ45:BM45"/>
    <mergeCell ref="BN45:BQ45"/>
    <mergeCell ref="BR45:BU45"/>
    <mergeCell ref="BV45:BY45"/>
    <mergeCell ref="BZ45:CC45"/>
    <mergeCell ref="BV46:BY46"/>
    <mergeCell ref="BZ46:CC46"/>
    <mergeCell ref="CD46:CG46"/>
    <mergeCell ref="B47:C47"/>
    <mergeCell ref="F47:I47"/>
    <mergeCell ref="J47:M47"/>
    <mergeCell ref="N47:Q47"/>
    <mergeCell ref="R47:U47"/>
    <mergeCell ref="V47:Y47"/>
    <mergeCell ref="Z47:AC47"/>
    <mergeCell ref="AX46:BA46"/>
    <mergeCell ref="BB46:BE46"/>
    <mergeCell ref="BF46:BI46"/>
    <mergeCell ref="BJ46:BM46"/>
    <mergeCell ref="BN46:BQ46"/>
    <mergeCell ref="BR46:BU46"/>
    <mergeCell ref="Z46:AC46"/>
    <mergeCell ref="AD46:AG46"/>
    <mergeCell ref="AH46:AK46"/>
    <mergeCell ref="AL46:AO46"/>
    <mergeCell ref="AP46:AS46"/>
    <mergeCell ref="AT46:AW46"/>
    <mergeCell ref="B46:C46"/>
    <mergeCell ref="F46:I46"/>
    <mergeCell ref="BZ47:CC47"/>
    <mergeCell ref="CD47:CG47"/>
    <mergeCell ref="B48:C48"/>
    <mergeCell ref="F48:I48"/>
    <mergeCell ref="J48:M48"/>
    <mergeCell ref="N48:Q48"/>
    <mergeCell ref="R48:U48"/>
    <mergeCell ref="V48:Y48"/>
    <mergeCell ref="Z48:AC48"/>
    <mergeCell ref="AD48:AG48"/>
    <mergeCell ref="BB47:BE47"/>
    <mergeCell ref="BF47:BI47"/>
    <mergeCell ref="BJ47:BM47"/>
    <mergeCell ref="BN47:BQ47"/>
    <mergeCell ref="BR47:BU47"/>
    <mergeCell ref="BV47:BY47"/>
    <mergeCell ref="AD47:AG47"/>
    <mergeCell ref="AH47:AK47"/>
    <mergeCell ref="AL47:AO47"/>
    <mergeCell ref="AP47:AS47"/>
    <mergeCell ref="AT47:AW47"/>
    <mergeCell ref="AX47:BA47"/>
    <mergeCell ref="CD48:CG48"/>
    <mergeCell ref="B49:C49"/>
    <mergeCell ref="F49:I49"/>
    <mergeCell ref="J49:M49"/>
    <mergeCell ref="N49:Q49"/>
    <mergeCell ref="R49:U49"/>
    <mergeCell ref="V49:Y49"/>
    <mergeCell ref="Z49:AC49"/>
    <mergeCell ref="AD49:AG49"/>
    <mergeCell ref="AH49:AK49"/>
    <mergeCell ref="BF48:BI48"/>
    <mergeCell ref="BJ48:BM48"/>
    <mergeCell ref="BN48:BQ48"/>
    <mergeCell ref="BR48:BU48"/>
    <mergeCell ref="BV48:BY48"/>
    <mergeCell ref="BZ48:CC48"/>
    <mergeCell ref="AH48:AK48"/>
    <mergeCell ref="AL48:AO48"/>
    <mergeCell ref="AP48:AS48"/>
    <mergeCell ref="AT48:AW48"/>
    <mergeCell ref="AX48:BA48"/>
    <mergeCell ref="BB48:BE48"/>
    <mergeCell ref="BR49:BU49"/>
    <mergeCell ref="BV49:BY49"/>
    <mergeCell ref="BZ49:CC49"/>
    <mergeCell ref="CD49:CG49"/>
    <mergeCell ref="AL49:AO49"/>
    <mergeCell ref="AP49:AS49"/>
    <mergeCell ref="AT49:AW49"/>
    <mergeCell ref="AX49:BA49"/>
    <mergeCell ref="BB49:BE49"/>
    <mergeCell ref="BF49:BI49"/>
    <mergeCell ref="AT50:AW50"/>
    <mergeCell ref="B50:C50"/>
    <mergeCell ref="F50:I50"/>
    <mergeCell ref="J50:M50"/>
    <mergeCell ref="N50:Q50"/>
    <mergeCell ref="R50:U50"/>
    <mergeCell ref="V50:Y50"/>
    <mergeCell ref="BJ49:BM49"/>
    <mergeCell ref="BN49:BQ49"/>
    <mergeCell ref="AP51:AS51"/>
    <mergeCell ref="AT51:AW51"/>
    <mergeCell ref="AX51:BA51"/>
    <mergeCell ref="BV50:BY50"/>
    <mergeCell ref="BZ50:CC50"/>
    <mergeCell ref="CD50:CG50"/>
    <mergeCell ref="B51:C51"/>
    <mergeCell ref="F51:I51"/>
    <mergeCell ref="J51:M51"/>
    <mergeCell ref="N51:Q51"/>
    <mergeCell ref="R51:U51"/>
    <mergeCell ref="V51:Y51"/>
    <mergeCell ref="Z51:AC51"/>
    <mergeCell ref="AX50:BA50"/>
    <mergeCell ref="BB50:BE50"/>
    <mergeCell ref="BF50:BI50"/>
    <mergeCell ref="BJ50:BM50"/>
    <mergeCell ref="BN50:BQ50"/>
    <mergeCell ref="BR50:BU50"/>
    <mergeCell ref="Z50:AC50"/>
    <mergeCell ref="AD50:AG50"/>
    <mergeCell ref="AH50:AK50"/>
    <mergeCell ref="AL50:AO50"/>
    <mergeCell ref="AP50:AS50"/>
    <mergeCell ref="AL52:AO52"/>
    <mergeCell ref="AP52:AS52"/>
    <mergeCell ref="AT52:AW52"/>
    <mergeCell ref="AX52:BA52"/>
    <mergeCell ref="BB52:BE52"/>
    <mergeCell ref="BZ51:CC51"/>
    <mergeCell ref="CD51:CG51"/>
    <mergeCell ref="B52:C52"/>
    <mergeCell ref="F52:I52"/>
    <mergeCell ref="J52:M52"/>
    <mergeCell ref="N52:Q52"/>
    <mergeCell ref="R52:U52"/>
    <mergeCell ref="V52:Y52"/>
    <mergeCell ref="Z52:AC52"/>
    <mergeCell ref="AD52:AG52"/>
    <mergeCell ref="BB51:BE51"/>
    <mergeCell ref="BF51:BI51"/>
    <mergeCell ref="BJ51:BM51"/>
    <mergeCell ref="BN51:BQ51"/>
    <mergeCell ref="BR51:BU51"/>
    <mergeCell ref="BV51:BY51"/>
    <mergeCell ref="AD51:AG51"/>
    <mergeCell ref="AH51:AK51"/>
    <mergeCell ref="AL51:AO51"/>
    <mergeCell ref="CD53:CG53"/>
    <mergeCell ref="AL53:AO53"/>
    <mergeCell ref="AP53:AS53"/>
    <mergeCell ref="AT53:AW53"/>
    <mergeCell ref="AX53:BA53"/>
    <mergeCell ref="BB53:BE53"/>
    <mergeCell ref="BF53:BI53"/>
    <mergeCell ref="CD52:CG52"/>
    <mergeCell ref="B53:C53"/>
    <mergeCell ref="F53:I53"/>
    <mergeCell ref="J53:M53"/>
    <mergeCell ref="N53:Q53"/>
    <mergeCell ref="R53:U53"/>
    <mergeCell ref="V53:Y53"/>
    <mergeCell ref="Z53:AC53"/>
    <mergeCell ref="AD53:AG53"/>
    <mergeCell ref="AH53:AK53"/>
    <mergeCell ref="BF52:BI52"/>
    <mergeCell ref="BJ52:BM52"/>
    <mergeCell ref="BN52:BQ52"/>
    <mergeCell ref="BR52:BU52"/>
    <mergeCell ref="BV52:BY52"/>
    <mergeCell ref="BZ52:CC52"/>
    <mergeCell ref="AH52:AK52"/>
    <mergeCell ref="J54:M54"/>
    <mergeCell ref="N54:Q54"/>
    <mergeCell ref="R54:U54"/>
    <mergeCell ref="V54:Y54"/>
    <mergeCell ref="BJ53:BM53"/>
    <mergeCell ref="BN53:BQ53"/>
    <mergeCell ref="BR53:BU53"/>
    <mergeCell ref="BV53:BY53"/>
    <mergeCell ref="BZ53:CC53"/>
    <mergeCell ref="BV54:BY54"/>
    <mergeCell ref="BZ54:CC54"/>
    <mergeCell ref="CD54:CG54"/>
    <mergeCell ref="B55:C55"/>
    <mergeCell ref="F55:I55"/>
    <mergeCell ref="J55:M55"/>
    <mergeCell ref="N55:Q55"/>
    <mergeCell ref="R55:U55"/>
    <mergeCell ref="V55:Y55"/>
    <mergeCell ref="Z55:AC55"/>
    <mergeCell ref="AX54:BA54"/>
    <mergeCell ref="BB54:BE54"/>
    <mergeCell ref="BF54:BI54"/>
    <mergeCell ref="BJ54:BM54"/>
    <mergeCell ref="BN54:BQ54"/>
    <mergeCell ref="BR54:BU54"/>
    <mergeCell ref="Z54:AC54"/>
    <mergeCell ref="AD54:AG54"/>
    <mergeCell ref="AH54:AK54"/>
    <mergeCell ref="AL54:AO54"/>
    <mergeCell ref="AP54:AS54"/>
    <mergeCell ref="AT54:AW54"/>
    <mergeCell ref="B54:C54"/>
    <mergeCell ref="F54:I54"/>
    <mergeCell ref="BZ55:CC55"/>
    <mergeCell ref="CD55:CG55"/>
    <mergeCell ref="B56:C56"/>
    <mergeCell ref="F56:I56"/>
    <mergeCell ref="J56:M56"/>
    <mergeCell ref="N56:Q56"/>
    <mergeCell ref="R56:U56"/>
    <mergeCell ref="V56:Y56"/>
    <mergeCell ref="Z56:AC56"/>
    <mergeCell ref="AD56:AG56"/>
    <mergeCell ref="BB55:BE55"/>
    <mergeCell ref="BF55:BI55"/>
    <mergeCell ref="BJ55:BM55"/>
    <mergeCell ref="BN55:BQ55"/>
    <mergeCell ref="BR55:BU55"/>
    <mergeCell ref="BV55:BY55"/>
    <mergeCell ref="AD55:AG55"/>
    <mergeCell ref="AH55:AK55"/>
    <mergeCell ref="AL55:AO55"/>
    <mergeCell ref="AP55:AS55"/>
    <mergeCell ref="AT55:AW55"/>
    <mergeCell ref="AX55:BA55"/>
    <mergeCell ref="CD56:CG56"/>
    <mergeCell ref="B57:C57"/>
    <mergeCell ref="F57:I57"/>
    <mergeCell ref="J57:M57"/>
    <mergeCell ref="N57:Q57"/>
    <mergeCell ref="R57:U57"/>
    <mergeCell ref="V57:Y57"/>
    <mergeCell ref="Z57:AC57"/>
    <mergeCell ref="AD57:AG57"/>
    <mergeCell ref="AH57:AK57"/>
    <mergeCell ref="BF56:BI56"/>
    <mergeCell ref="BJ56:BM56"/>
    <mergeCell ref="BN56:BQ56"/>
    <mergeCell ref="BR56:BU56"/>
    <mergeCell ref="BV56:BY56"/>
    <mergeCell ref="BZ56:CC56"/>
    <mergeCell ref="AH56:AK56"/>
    <mergeCell ref="AL56:AO56"/>
    <mergeCell ref="AP56:AS56"/>
    <mergeCell ref="AT56:AW56"/>
    <mergeCell ref="AX56:BA56"/>
    <mergeCell ref="BB56:BE56"/>
    <mergeCell ref="BR57:BU57"/>
    <mergeCell ref="BV57:BY57"/>
    <mergeCell ref="BZ57:CC57"/>
    <mergeCell ref="CD57:CG57"/>
    <mergeCell ref="AL57:AO57"/>
    <mergeCell ref="AP57:AS57"/>
    <mergeCell ref="AT57:AW57"/>
    <mergeCell ref="AX57:BA57"/>
    <mergeCell ref="BB57:BE57"/>
    <mergeCell ref="BF57:BI57"/>
    <mergeCell ref="AT58:AW58"/>
    <mergeCell ref="B58:C58"/>
    <mergeCell ref="F58:I58"/>
    <mergeCell ref="J58:M58"/>
    <mergeCell ref="N58:Q58"/>
    <mergeCell ref="R58:U58"/>
    <mergeCell ref="V58:Y58"/>
    <mergeCell ref="BJ57:BM57"/>
    <mergeCell ref="BN57:BQ57"/>
    <mergeCell ref="AP59:AS59"/>
    <mergeCell ref="AT59:AW59"/>
    <mergeCell ref="AX59:BA59"/>
    <mergeCell ref="BV58:BY58"/>
    <mergeCell ref="BZ58:CC58"/>
    <mergeCell ref="CD58:CG58"/>
    <mergeCell ref="B59:C59"/>
    <mergeCell ref="F59:I59"/>
    <mergeCell ref="J59:M59"/>
    <mergeCell ref="N59:Q59"/>
    <mergeCell ref="R59:U59"/>
    <mergeCell ref="V59:Y59"/>
    <mergeCell ref="Z59:AC59"/>
    <mergeCell ref="AX58:BA58"/>
    <mergeCell ref="BB58:BE58"/>
    <mergeCell ref="BF58:BI58"/>
    <mergeCell ref="BJ58:BM58"/>
    <mergeCell ref="BN58:BQ58"/>
    <mergeCell ref="BR58:BU58"/>
    <mergeCell ref="Z58:AC58"/>
    <mergeCell ref="AD58:AG58"/>
    <mergeCell ref="AH58:AK58"/>
    <mergeCell ref="AL58:AO58"/>
    <mergeCell ref="AP58:AS58"/>
    <mergeCell ref="AL60:AO60"/>
    <mergeCell ref="AP60:AS60"/>
    <mergeCell ref="AT60:AW60"/>
    <mergeCell ref="AX60:BA60"/>
    <mergeCell ref="BB60:BE60"/>
    <mergeCell ref="BZ59:CC59"/>
    <mergeCell ref="CD59:CG59"/>
    <mergeCell ref="B60:C60"/>
    <mergeCell ref="F60:I60"/>
    <mergeCell ref="J60:M60"/>
    <mergeCell ref="N60:Q60"/>
    <mergeCell ref="R60:U60"/>
    <mergeCell ref="V60:Y60"/>
    <mergeCell ref="Z60:AC60"/>
    <mergeCell ref="AD60:AG60"/>
    <mergeCell ref="BB59:BE59"/>
    <mergeCell ref="BF59:BI59"/>
    <mergeCell ref="BJ59:BM59"/>
    <mergeCell ref="BN59:BQ59"/>
    <mergeCell ref="BR59:BU59"/>
    <mergeCell ref="BV59:BY59"/>
    <mergeCell ref="AD59:AG59"/>
    <mergeCell ref="AH59:AK59"/>
    <mergeCell ref="AL59:AO59"/>
    <mergeCell ref="CD61:CG61"/>
    <mergeCell ref="AL61:AO61"/>
    <mergeCell ref="AP61:AS61"/>
    <mergeCell ref="AT61:AW61"/>
    <mergeCell ref="AX61:BA61"/>
    <mergeCell ref="BB61:BE61"/>
    <mergeCell ref="BF61:BI61"/>
    <mergeCell ref="CD60:CG60"/>
    <mergeCell ref="B61:C61"/>
    <mergeCell ref="F61:I61"/>
    <mergeCell ref="J61:M61"/>
    <mergeCell ref="N61:Q61"/>
    <mergeCell ref="R61:U61"/>
    <mergeCell ref="V61:Y61"/>
    <mergeCell ref="Z61:AC61"/>
    <mergeCell ref="AD61:AG61"/>
    <mergeCell ref="AH61:AK61"/>
    <mergeCell ref="BF60:BI60"/>
    <mergeCell ref="BJ60:BM60"/>
    <mergeCell ref="BN60:BQ60"/>
    <mergeCell ref="BR60:BU60"/>
    <mergeCell ref="BV60:BY60"/>
    <mergeCell ref="BZ60:CC60"/>
    <mergeCell ref="AH60:AK60"/>
    <mergeCell ref="J62:M62"/>
    <mergeCell ref="N62:Q62"/>
    <mergeCell ref="R62:U62"/>
    <mergeCell ref="V62:Y62"/>
    <mergeCell ref="BJ61:BM61"/>
    <mergeCell ref="BN61:BQ61"/>
    <mergeCell ref="BR61:BU61"/>
    <mergeCell ref="BV61:BY61"/>
    <mergeCell ref="BZ61:CC61"/>
    <mergeCell ref="BV62:BY62"/>
    <mergeCell ref="BZ62:CC62"/>
    <mergeCell ref="CD62:CG62"/>
    <mergeCell ref="B63:C63"/>
    <mergeCell ref="F63:I63"/>
    <mergeCell ref="J63:M63"/>
    <mergeCell ref="N63:Q63"/>
    <mergeCell ref="R63:U63"/>
    <mergeCell ref="V63:Y63"/>
    <mergeCell ref="Z63:AC63"/>
    <mergeCell ref="AX62:BA62"/>
    <mergeCell ref="BB62:BE62"/>
    <mergeCell ref="BF62:BI62"/>
    <mergeCell ref="BJ62:BM62"/>
    <mergeCell ref="BN62:BQ62"/>
    <mergeCell ref="BR62:BU62"/>
    <mergeCell ref="Z62:AC62"/>
    <mergeCell ref="AD62:AG62"/>
    <mergeCell ref="AH62:AK62"/>
    <mergeCell ref="AL62:AO62"/>
    <mergeCell ref="AP62:AS62"/>
    <mergeCell ref="AT62:AW62"/>
    <mergeCell ref="B62:C62"/>
    <mergeCell ref="F62:I62"/>
    <mergeCell ref="F65:I65"/>
    <mergeCell ref="J65:M65"/>
    <mergeCell ref="N65:Q65"/>
    <mergeCell ref="R65:U65"/>
    <mergeCell ref="V65:Y65"/>
    <mergeCell ref="Z65:AC65"/>
    <mergeCell ref="AD65:AG65"/>
    <mergeCell ref="AH65:AK65"/>
    <mergeCell ref="BB63:BE63"/>
    <mergeCell ref="AD63:AG63"/>
    <mergeCell ref="AH63:AK63"/>
    <mergeCell ref="AL63:AO63"/>
    <mergeCell ref="AP63:AS63"/>
    <mergeCell ref="AT63:AW63"/>
    <mergeCell ref="AX63:BA63"/>
    <mergeCell ref="CD65:CG65"/>
    <mergeCell ref="AL65:AO65"/>
    <mergeCell ref="AP65:AS65"/>
    <mergeCell ref="AT65:AW65"/>
    <mergeCell ref="AX65:BA65"/>
    <mergeCell ref="BB65:BE65"/>
    <mergeCell ref="BF65:BI65"/>
    <mergeCell ref="BZ63:CC63"/>
    <mergeCell ref="CD63:CG63"/>
    <mergeCell ref="BF63:BI63"/>
    <mergeCell ref="BJ63:BM63"/>
    <mergeCell ref="BN63:BQ63"/>
    <mergeCell ref="BR63:BU63"/>
    <mergeCell ref="BV63:BY63"/>
    <mergeCell ref="N66:Q66"/>
    <mergeCell ref="R66:U66"/>
    <mergeCell ref="V66:Y66"/>
    <mergeCell ref="Z66:AC66"/>
    <mergeCell ref="BJ65:BM65"/>
    <mergeCell ref="BN65:BQ65"/>
    <mergeCell ref="BR65:BU65"/>
    <mergeCell ref="BV65:BY65"/>
    <mergeCell ref="BZ65:CC65"/>
    <mergeCell ref="BZ66:CC66"/>
    <mergeCell ref="CD66:CG66"/>
    <mergeCell ref="AG68:BD69"/>
    <mergeCell ref="F74:I74"/>
    <mergeCell ref="J74:M74"/>
    <mergeCell ref="N74:Q74"/>
    <mergeCell ref="R74:U74"/>
    <mergeCell ref="V74:Y74"/>
    <mergeCell ref="Z74:AC74"/>
    <mergeCell ref="AD74:AG74"/>
    <mergeCell ref="BB66:BE66"/>
    <mergeCell ref="BF66:BI66"/>
    <mergeCell ref="BJ66:BM66"/>
    <mergeCell ref="BN66:BQ66"/>
    <mergeCell ref="BR66:BU66"/>
    <mergeCell ref="BV66:BY66"/>
    <mergeCell ref="AD66:AG66"/>
    <mergeCell ref="AH66:AK66"/>
    <mergeCell ref="AL66:AO66"/>
    <mergeCell ref="AP66:AS66"/>
    <mergeCell ref="AT66:AW66"/>
    <mergeCell ref="AX66:BA66"/>
    <mergeCell ref="F66:I66"/>
    <mergeCell ref="J66:M66"/>
    <mergeCell ref="CD74:CG74"/>
    <mergeCell ref="BF74:BI74"/>
    <mergeCell ref="BJ74:BM74"/>
    <mergeCell ref="BN74:BQ74"/>
    <mergeCell ref="BR74:BU74"/>
    <mergeCell ref="BV74:BY74"/>
    <mergeCell ref="BZ74:CC74"/>
    <mergeCell ref="AH74:AK74"/>
    <mergeCell ref="AL74:AO74"/>
    <mergeCell ref="AP74:AS74"/>
    <mergeCell ref="AT74:AW74"/>
    <mergeCell ref="AX74:BA74"/>
    <mergeCell ref="BB74:BE74"/>
  </mergeCells>
  <phoneticPr fontId="0" type="noConversion"/>
  <dataValidations count="3">
    <dataValidation type="list" allowBlank="1" showInputMessage="1" showErrorMessage="1" sqref="CI44:CI63 CL44:CP63" xr:uid="{00000000-0002-0000-0100-000000000000}">
      <formula1>$B$75:$B$79</formula1>
    </dataValidation>
    <dataValidation type="list" showInputMessage="1" showErrorMessage="1" sqref="I39:J40 AO7:AP8 Q39:R40 U39:V40 Y39:Z40 AC39:AD40 AG39:AH40 AK39:AL40 AO39:AP40 AS39:AT40 AW39:AX40 BA39:BB40 BE39:BF40 BI39:BJ40 BM39:BN40 BQ39:BR40 BU39:BV40 BY39:BZ40 CC39:CD40 AS15:AT16 AW15:AX16 BA15:BB16 AY13:AZ14 BC13:BD14 AM13:AN14 AG15:AH16 AQ13:AR14 AO11:AP12 AI13:AJ14 AS11:AT12 AW11:AX12 AK11:AL12 AU9:AV10 AY9:AZ10 AW7:AX8 AS7:AT8 M39:N40 S37:T38 W37:X38 AA37:AB38 AE37:AF38 AI37:AJ38 AM37:AN38 AQ37:AR38 AU37:AV38 AY37:AZ38 BC37:BD38 BG37:BH38 BK37:BL38 BO37:BP38 BS37:BT38 BW37:BX38 CA37:CB38 O37:P38 Y35:Z36 AC35:AD36 AG35:AH36 AK35:AL36 AO35:AP36 AS35:AT36 AW35:AX36 BA35:BB36 BE35:BF36 BI35:BJ36 BM35:BN36 BQ35:BR36 BU35:BV36 BY35:BZ36 Q35:R36 M35:N36 AE33:AF34 AI33:AJ34 AM33:AN34 AQ33:AR34 AU33:AV34 AY33:AZ34 BC33:BD34 BG33:BH34 BK33:BL34 BO33:BP34 BS33:BT34 BW33:BX34 S33:T34 AQ5:AR6 W33:X34 AK31:AL32 AO31:AP32 AS31:AT32 AW31:AX32 BA31:BB32 BE31:BF32 BI31:BJ32 BM31:BN32 BQ31:BR32 BU31:BV32 U31:V32 O33:P34 Y31:Z32 AC31:AD32 AQ29:AR30 AU29:AV30 AY29:AZ30 BC29:BD30 BG29:BH30 BK29:BL30 BO29:BP30 BS29:BT30 W29:X30 Q31:R32 AA29:AB30 AE29:AF30 AI29:AJ30 AW27:AX28 BA27:BB28 BE27:BF28 BI27:BJ28 BM27:BN28 BQ27:BR28 Y27:Z28 S29:T30 AC27:AD28 AG27:AH28 AK27:AL28 AO27:AP28 BC25:BD26 BG25:BH26 BK25:BL26 BO25:BP26 AA25:AB26 U27:V28 AE25:AF26 AI25:AJ26 AM25:AN26 AQ25:AR26 AU25:AV26 BI23:BJ24 BM23:BN24 AC23:AD24 W25:X26 AG23:AH24 AK23:AL24 AO23:AP24 AS23:AT24 AW23:AX24 BA23:BB24 AE21:AF22 Y23:Z24 AI21:AJ22 AM21:AN22 AQ21:AR22 AU21:AV22 AY21:AZ22 BC21:BD22 BG21:BH22 AA21:AB22 AK19:AL20 AO19:AP20 AS19:AT20 AW19:AX20 BA19:BB20 BE19:BF20 BI19:BJ20 AM17:AN18 AQ17:AR18 AU17:AV18 AY17:AZ18 BC17:BD18 BG17:BH18 AI17:AJ18 BE15:BF16 AK15:AL16 AE17:AF18 K37:L38 U35:V36 AA33:AB34 AG31:AH32 AM29:AN30 AS27:AT28 AY25:AZ26 BE23:BF24 BK21:BL22 AG19:AH20 AC19:AD20 AO15:AP16 AU13:AV14 BA11:BB12 AQ9:AR10 AM9:AN10 AU5:AV6 AS3:AT4" xr:uid="{00000000-0002-0000-0100-000001000000}">
      <formula1>$E$74:$E$80</formula1>
    </dataValidation>
    <dataValidation type="list" allowBlank="1" showInputMessage="1" showErrorMessage="1" sqref="F44:CG63" xr:uid="{00000000-0002-0000-0100-000002000000}">
      <formula1>$E$74:$E$80</formula1>
    </dataValidation>
  </dataValidations>
  <pageMargins left="0.75" right="0.75" top="1" bottom="1" header="0.5" footer="0.5"/>
  <pageSetup scale="39" orientation="portrait" horizontalDpi="300" verticalDpi="300"/>
  <headerFooter alignWithMargins="0">
    <oddFooter>&amp;C&amp;8Page &amp;P of &amp;N&amp;R&amp;8QFD Template
Copyright 2004, MoreStea.com, LLC
All Rights Reserved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8:J11"/>
  <sheetViews>
    <sheetView workbookViewId="0"/>
  </sheetViews>
  <sheetFormatPr baseColWidth="10" defaultRowHeight="13"/>
  <cols>
    <col min="1" max="256" width="8.83203125" customWidth="1"/>
  </cols>
  <sheetData>
    <row r="8" spans="2:10" ht="33">
      <c r="B8" s="57" t="s">
        <v>30</v>
      </c>
    </row>
    <row r="10" spans="2:10">
      <c r="J10" s="58" t="s">
        <v>31</v>
      </c>
    </row>
    <row r="11" spans="2:10">
      <c r="J11" s="58" t="s">
        <v>32</v>
      </c>
    </row>
  </sheetData>
  <sheetProtection password="E053" sheet="1" objects="1" scenarios="1" selectLockedCells="1" selectUnlockedCells="1"/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44</vt:i4>
      </vt:variant>
    </vt:vector>
  </HeadingPairs>
  <TitlesOfParts>
    <vt:vector size="46" baseType="lpstr">
      <vt:lpstr>QFD First House</vt:lpstr>
      <vt:lpstr>QFD Second House</vt:lpstr>
      <vt:lpstr>'QFD First House'!Importance1</vt:lpstr>
      <vt:lpstr>'QFD Second House'!Importance2</vt:lpstr>
      <vt:lpstr>'QFD First House'!List1_1</vt:lpstr>
      <vt:lpstr>'QFD First House'!List1_10</vt:lpstr>
      <vt:lpstr>'QFD First House'!List1_11</vt:lpstr>
      <vt:lpstr>'QFD First House'!List1_12</vt:lpstr>
      <vt:lpstr>'QFD First House'!List1_13</vt:lpstr>
      <vt:lpstr>'QFD First House'!List1_14</vt:lpstr>
      <vt:lpstr>'QFD First House'!List1_15</vt:lpstr>
      <vt:lpstr>'QFD First House'!List1_16</vt:lpstr>
      <vt:lpstr>'QFD First House'!List1_17</vt:lpstr>
      <vt:lpstr>'QFD First House'!List1_18</vt:lpstr>
      <vt:lpstr>'QFD First House'!List1_19</vt:lpstr>
      <vt:lpstr>'QFD First House'!List1_2</vt:lpstr>
      <vt:lpstr>'QFD First House'!List1_20</vt:lpstr>
      <vt:lpstr>'QFD First House'!List1_3</vt:lpstr>
      <vt:lpstr>'QFD First House'!List1_4</vt:lpstr>
      <vt:lpstr>'QFD First House'!List1_5</vt:lpstr>
      <vt:lpstr>'QFD First House'!List1_6</vt:lpstr>
      <vt:lpstr>'QFD First House'!List1_7</vt:lpstr>
      <vt:lpstr>'QFD First House'!List1_8</vt:lpstr>
      <vt:lpstr>'QFD First House'!List1_9</vt:lpstr>
      <vt:lpstr>'QFD Second House'!List2_1</vt:lpstr>
      <vt:lpstr>'QFD Second House'!List2_10</vt:lpstr>
      <vt:lpstr>'QFD Second House'!List2_11</vt:lpstr>
      <vt:lpstr>'QFD Second House'!List2_12</vt:lpstr>
      <vt:lpstr>'QFD Second House'!List2_13</vt:lpstr>
      <vt:lpstr>'QFD Second House'!List2_14</vt:lpstr>
      <vt:lpstr>'QFD Second House'!List2_15</vt:lpstr>
      <vt:lpstr>'QFD Second House'!List2_16</vt:lpstr>
      <vt:lpstr>'QFD Second House'!List2_17</vt:lpstr>
      <vt:lpstr>'QFD Second House'!List2_18</vt:lpstr>
      <vt:lpstr>'QFD Second House'!List2_19</vt:lpstr>
      <vt:lpstr>'QFD Second House'!List2_2</vt:lpstr>
      <vt:lpstr>'QFD Second House'!List2_20</vt:lpstr>
      <vt:lpstr>'QFD Second House'!List2_3</vt:lpstr>
      <vt:lpstr>'QFD Second House'!List2_4</vt:lpstr>
      <vt:lpstr>'QFD Second House'!List2_5</vt:lpstr>
      <vt:lpstr>'QFD Second House'!List2_6</vt:lpstr>
      <vt:lpstr>'QFD Second House'!List2_7</vt:lpstr>
      <vt:lpstr>'QFD Second House'!List2_8</vt:lpstr>
      <vt:lpstr>'QFD Second House'!List2_9</vt:lpstr>
      <vt:lpstr>'QFD First House'!Print_Area</vt:lpstr>
      <vt:lpstr>'QFD Second House'!Print_Area</vt:lpstr>
    </vt:vector>
  </TitlesOfParts>
  <Company>MoreSteam.com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MoreSteam.com</dc:creator>
  <dc:description>QFD Template 07-29-05_x000d_
Copyright 2005 All Rights Reserved_x000d_
MoreSteam.com, LLC</dc:description>
  <cp:lastModifiedBy>Microsoft Office User</cp:lastModifiedBy>
  <cp:lastPrinted>2004-03-12T19:43:28Z</cp:lastPrinted>
  <dcterms:created xsi:type="dcterms:W3CDTF">2004-03-12T19:40:15Z</dcterms:created>
  <dcterms:modified xsi:type="dcterms:W3CDTF">2021-10-25T14:37:53Z</dcterms:modified>
</cp:coreProperties>
</file>